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Sessions"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<sst xmlns="http://schemas.openxmlformats.org/spreadsheetml/2006/main" count="1379" uniqueCount="355">
  <si>
    <t xml:space="preserve">Event No.</t>
  </si>
  <si>
    <t xml:space="preserve">Session</t>
  </si>
  <si>
    <t xml:space="preserve">Event Title</t>
  </si>
  <si>
    <t xml:space="preserve">Event Series / Programme</t>
  </si>
  <si>
    <t xml:space="preserve">Delivery Mode</t>
  </si>
  <si>
    <t xml:space="preserve">Venue / Location (as listed)</t>
  </si>
  <si>
    <t xml:space="preserve">Date</t>
  </si>
  <si>
    <t xml:space="preserve">Day</t>
  </si>
  <si>
    <t xml:space="preserve">Start Time</t>
  </si>
  <si>
    <t xml:space="preserve">End Time</t>
  </si>
  <si>
    <t xml:space="preserve">Duration (hrs)</t>
  </si>
  <si>
    <t xml:space="preserve">Description</t>
  </si>
  <si>
    <t xml:space="preserve">Featured Organisation (logo shown)</t>
  </si>
  <si>
    <t xml:space="preserve">Listing Page (results)</t>
  </si>
  <si>
    <t xml:space="preserve">Source</t>
  </si>
  <si>
    <t xml:space="preserve">1 of 3</t>
  </si>
  <si>
    <t xml:space="preserve">eCareersGrad MasterClass: UK Grad Job &amp; Internship Success: The Essential Guide</t>
  </si>
  <si>
    <t xml:space="preserve">eCareersGrad MasterClass</t>
  </si>
  <si>
    <t xml:space="preserve">Virtual</t>
  </si>
  <si>
    <t xml:space="preserve">Virtual event / Online webinar</t>
  </si>
  <si>
    <t xml:space="preserve">An information session delivered by eCareersGrad with time for questions and answers.</t>
  </si>
  <si>
    <t xml:space="preserve">1-100</t>
  </si>
  <si>
    <t xml:space="preserve">UCL Careers (uclcareers.targetconnect.net), captured 13-Oct-2026</t>
  </si>
  <si>
    <t xml:space="preserve">2 of 3</t>
  </si>
  <si>
    <t xml:space="preserve">3 of 3</t>
  </si>
  <si>
    <t xml:space="preserve">1 of 6</t>
  </si>
  <si>
    <t xml:space="preserve">eCareersGrad MasterClass: International Students: Target the Right UK Employer SPONSOR</t>
  </si>
  <si>
    <t xml:space="preserve">2 of 6</t>
  </si>
  <si>
    <t xml:space="preserve">3 of 6</t>
  </si>
  <si>
    <t xml:space="preserve">4 of 6</t>
  </si>
  <si>
    <t xml:space="preserve">5 of 6</t>
  </si>
  <si>
    <t xml:space="preserve">6 of 6</t>
  </si>
  <si>
    <t xml:space="preserve">1 of 1</t>
  </si>
  <si>
    <t xml:space="preserve">Career Lab - Networking Preparation and Practice</t>
  </si>
  <si>
    <t xml:space="preserve">Career Lab</t>
  </si>
  <si>
    <t xml:space="preserve">On Campus</t>
  </si>
  <si>
    <t xml:space="preserve">On Campus: Canary Wharf Level 49, 49.02E Seminar Room</t>
  </si>
  <si>
    <t xml:space="preserve">Work on your elevator pitch and practice your networking skills to make a fantastic first impression with employers.</t>
  </si>
  <si>
    <t xml:space="preserve">Discover CASETiFY: Global Management Trainee Program 2027 Information Session</t>
  </si>
  <si>
    <t xml:space="preserve">Other / Employer-led event</t>
  </si>
  <si>
    <t xml:space="preserve">Join us to learn more about CASETiFY's rapid global growth, hear first-hand experiences from our current Management Trainees, and get exclusive tips on how to apply for the 2027 intake.</t>
  </si>
  <si>
    <t xml:space="preserve">Skills East: Online Job search strategy and LinkedIn</t>
  </si>
  <si>
    <t xml:space="preserve">Skills East</t>
  </si>
  <si>
    <t xml:space="preserve">In this online session you will have the opportunity to learn about building a job search strategy. This session will help you in terms of applications for jobs or internships as well as using LinkedIn as part of this process.</t>
  </si>
  <si>
    <t xml:space="preserve">Career Essentials Group Work: CV Session</t>
  </si>
  <si>
    <t xml:space="preserve">Career Essentials Group Work</t>
  </si>
  <si>
    <t xml:space="preserve">On Campus: UCL Careers - 4th Floor Seminar Room (413)</t>
  </si>
  <si>
    <t xml:space="preserve">Small group work Career Essentials session focusing on learning the key concepts that make up a good CV and getting feedback on your own CV from UCL Careers staff and peers.</t>
  </si>
  <si>
    <t xml:space="preserve">Career Essentials: Improve Your CV</t>
  </si>
  <si>
    <t xml:space="preserve">Career Essentials</t>
  </si>
  <si>
    <t xml:space="preserve">Not stated</t>
  </si>
  <si>
    <t xml:space="preserve">Strengthen your CV by learning how to grab an employer's interest and showcase your most relevant experiences.</t>
  </si>
  <si>
    <t xml:space="preserve">Life &amp; Health Sciences: Job Hunting and LinkedIn</t>
  </si>
  <si>
    <t xml:space="preserve">Life &amp; Health Sciences</t>
  </si>
  <si>
    <t xml:space="preserve">Make LinkedIn work for your career. This session for Life and Health Sciences students explores how to find jobs, research organisations and professionals, uncover hidden opportunities, and strengthen your personal brand.</t>
  </si>
  <si>
    <t xml:space="preserve">Meet the Deloitte Team at UCL East</t>
  </si>
  <si>
    <t xml:space="preserve">UCL East Campus: Marshgate Building: Room 118</t>
  </si>
  <si>
    <t xml:space="preserve">Explore career journeys, develop your interview skills and practise with Deloitte</t>
  </si>
  <si>
    <t xml:space="preserve">Buy Side Panel - Investment, Risk and Infrastructure Credit</t>
  </si>
  <si>
    <t xml:space="preserve">On Campus: Canary Wharf Level 49, 49.01 Teaching Room</t>
  </si>
  <si>
    <t xml:space="preserve">Senior professionals from Edmond De Rothschild, Janus Henderson, and Millennium share insights from their careers, take questions from the audience. There will also be time for more informal networking.</t>
  </si>
  <si>
    <t xml:space="preserve">Overview of Global Consulting with James Brown from Savitas</t>
  </si>
  <si>
    <t xml:space="preserve">Explore the range of options in and ways to enter the consulting industry in a global context</t>
  </si>
  <si>
    <t xml:space="preserve">Employer-Led Skills Panel : Succeeding at Interviews with graduate recruiters</t>
  </si>
  <si>
    <t xml:space="preserve">Employer-led Skills Programme</t>
  </si>
  <si>
    <t xml:space="preserve">Employer-led skills panel discussion on how to succeed at interview with graduate employers</t>
  </si>
  <si>
    <t xml:space="preserve">Career Essentials Group Work: Using STAR to Showcase Skills</t>
  </si>
  <si>
    <t xml:space="preserve">Small group work Career Essentials session focusing on learning the STAR technique, which can be used as a tool during interviews to help answer questions and showcase your skills.</t>
  </si>
  <si>
    <t xml:space="preserve">Procter &amp; Gamble Employer Spotlight: Graduate Careers &amp; Recruitment</t>
  </si>
  <si>
    <t xml:space="preserve">On Campus: Canary Wharf Level 50, SW54 Lecture Theatre</t>
  </si>
  <si>
    <t xml:space="preserve">Join representatives from Procter &amp; Gamble (P&amp;G) to gain insight into careers, graduate recruitment and leadership development at one of the world's leading consumer goods companies. The session will provide an overview of opportunities available now</t>
  </si>
  <si>
    <t xml:space="preserve">Shape Your International Future: HKU Business School Masters Info Session</t>
  </si>
  <si>
    <t xml:space="preserve">On Campus: IOE - 20 Bedford Way C3.11</t>
  </si>
  <si>
    <t xml:space="preserve">Thinking about postgraduate study outside the UK and how to stand out in today's competitive job market?</t>
  </si>
  <si>
    <t xml:space="preserve">Expedia Group Internship Insight Day (Office Visit)</t>
  </si>
  <si>
    <t xml:space="preserve">Off Campus</t>
  </si>
  <si>
    <t xml:space="preserve">Are you graduating in 2028 and curious about what an internship at Expedia Group could look like? Join the Expedia Group for an exciting and immersive afternoon designed to set you up for success and help you prepare for your internship application.</t>
  </si>
  <si>
    <t xml:space="preserve">Being Self-Employed/Freelancing Your Way: Different Brains, Different Ways of Working</t>
  </si>
  <si>
    <t xml:space="preserve">This interactive workshop explores how neurodivergent people can build freelance (self-employed) and independent careers around the ways they work best when working in the Creative and Cultural Industries.</t>
  </si>
  <si>
    <t xml:space="preserve">WORKING IN A GLOBAL WORLD - 2: How to Better Navigate a Complex World</t>
  </si>
  <si>
    <t xml:space="preserve">Working in a Global World</t>
  </si>
  <si>
    <t xml:space="preserve">The second session in the Cross-Cultural Communication strand is a deeper dive into beliefs, values, identity, and how they intersect. You will walk out the door with more frameworks to start using in your own life.</t>
  </si>
  <si>
    <t xml:space="preserve">Get Hired! - Online Tests and Video Interview Prep</t>
  </si>
  <si>
    <t xml:space="preserve">Get Hired!</t>
  </si>
  <si>
    <t xml:space="preserve">Living with AI - Session delivered by Mintel</t>
  </si>
  <si>
    <t xml:space="preserve">On Campus: Canary Wharf Level 49, 49.02 Teaching Room</t>
  </si>
  <si>
    <t xml:space="preserve">This session takes an objective, data-driven look at sentiment towards AI, cutting through the hype to focus on real perceptions of this technology. We'll explore how consumers are most likely to use AI in the future.</t>
  </si>
  <si>
    <t xml:space="preserve">Management Consultancy Fair</t>
  </si>
  <si>
    <t xml:space="preserve">Careers Fair</t>
  </si>
  <si>
    <t xml:space="preserve">On Campus: IOE - 20 Bedford Way: Jeffery Hall LT (Rm 103)</t>
  </si>
  <si>
    <t xml:space="preserve">The Management Consultancy Careers Event is your opportunity to meet with a wide range of organisations working in this popular sector.</t>
  </si>
  <si>
    <t xml:space="preserve">Beyond the Display Case: Creating A Museum Experience</t>
  </si>
  <si>
    <t xml:space="preserve">On Campus: 40 Bernard Street: Room 412</t>
  </si>
  <si>
    <t xml:space="preserve">In this practical workshop, you'll take on the role of a museum team and design a museum experience! Working in teams, you'll pick a theme and a be given a specific audience - from families and teenagers to people who don't usually visit museums.</t>
  </si>
  <si>
    <t xml:space="preserve">Careers in Archives: Making the Past Accessible</t>
  </si>
  <si>
    <t xml:space="preserve">From collections care to engagement and a lot in between, this workshop will be a useful introduction to those considering a career within archives (or if you are just interested in learning more!).</t>
  </si>
  <si>
    <t xml:space="preserve">Career Essentials: Sourcing Jobs and Work Experience</t>
  </si>
  <si>
    <t xml:space="preserve">Take control of your job search and learn how to use your networks, speculative applications and more to gain access to more job and work experience opportunities.</t>
  </si>
  <si>
    <t xml:space="preserve">On Campus Employer Presentation: EY-Parthenon Early Careers</t>
  </si>
  <si>
    <t xml:space="preserve">Employer Presentation / Pop-Up</t>
  </si>
  <si>
    <t xml:space="preserve">Room to be confirmed (On Campus)</t>
  </si>
  <si>
    <t xml:space="preserve">Whether you're curious about EY, consulting or actively considering a future career in strategy, this is a fantastic chance to gain first-hand insight into life at EY-Parthenon and explore where a career with us could take you.</t>
  </si>
  <si>
    <t xml:space="preserve">Launch Your Career with AlphaSights Asia - On-the-Spot Interviews Available</t>
  </si>
  <si>
    <t xml:space="preserve">Join us for an exclusive employer presentation hosted by AlphaSights, a global information services company specialising in connecting clients with expert knowledge to support informed business decisions.</t>
  </si>
  <si>
    <t xml:space="preserve">Career Essentials: Application Forms and Cover Letters</t>
  </si>
  <si>
    <t xml:space="preserve">Discover how to showcase your motivation and competency-based skills in your cover letter and on application materials.</t>
  </si>
  <si>
    <t xml:space="preserve">Employer-led Skills Programme: One to One CV &amp; Application Checking with Amazon</t>
  </si>
  <si>
    <t xml:space="preserve">On Campus: UCL Careers (2)</t>
  </si>
  <si>
    <t xml:space="preserve">Want expert employer feedback on your CV or application before you submit it? Participate in a one-to-one CV &amp; Application Checking with a graduate employer.</t>
  </si>
  <si>
    <t xml:space="preserve">Museum Collections in Practice: Careers, Collaboration and Decision-Making</t>
  </si>
  <si>
    <t xml:space="preserve">On Campus: IOE - 20 Bedford Way - Room 822</t>
  </si>
  <si>
    <t xml:space="preserve">In this interactive workshop with UCL alumna Sara Mittica, you'll gain an insight into the world of museum collections and explore some of the challenges involved in balancing access, preservation, risk, resources and public benefit.</t>
  </si>
  <si>
    <t xml:space="preserve">BCG UK International: Meet Our Global Offices | London</t>
  </si>
  <si>
    <t xml:space="preserve">Interested in starting your BCG career abroad? Join us in London to meet consultants and recruiters from BCG offices across Europe, Southeast Asia and the Caspian Region, and explore where an international career with BCG could take you.</t>
  </si>
  <si>
    <t xml:space="preserve">1 of 2</t>
  </si>
  <si>
    <t xml:space="preserve">Hong Kong · Global Talent &amp; Career Showcase @London</t>
  </si>
  <si>
    <t xml:space="preserve">Your Future in Hong Kong Starts Here</t>
  </si>
  <si>
    <t xml:space="preserve">2 of 2</t>
  </si>
  <si>
    <t xml:space="preserve">On Campus Employer Pop-Up with : Deloitte</t>
  </si>
  <si>
    <t xml:space="preserve">On Campus: Wilkins Main Quad</t>
  </si>
  <si>
    <t xml:space="preserve">Want to learn more about what Deloitte is all about? We're inviting you to our "Meet Your Future" activation this autumn, to discover if a career with us could be right for you.</t>
  </si>
  <si>
    <t xml:space="preserve">Career Essentials Group Work: Cover Letter Session</t>
  </si>
  <si>
    <t xml:space="preserve">Small group work Career Essentials session focusing on learning the key concepts that make up a good cover letter, reviewing your own work and providing peer-to-peer feedback.</t>
  </si>
  <si>
    <t xml:space="preserve">PhD in the Life &amp; Health Sciences Overview</t>
  </si>
  <si>
    <t xml:space="preserve">This session will provide an overview of doctoral study in the UK and help you explore your options before making an informed decision. The session will finish with a dedicated Q&amp;A.</t>
  </si>
  <si>
    <t xml:space="preserve">On Campus Employer Presentation: OIST - Okinawa Institute of Science and Technology</t>
  </si>
  <si>
    <t xml:space="preserve">Join us for an information session to learn about our fully funded research opportunities at Okinawa Institute of Science and Technology (OIST).</t>
  </si>
  <si>
    <t xml:space="preserve">Career Lab - Using LinkedIn for a Purpose</t>
  </si>
  <si>
    <t xml:space="preserve">Learn how to to use LinkedIn to achieve a specific purpose through analysing scenarios and reflecting on success stories.</t>
  </si>
  <si>
    <t xml:space="preserve">eCareersGrad MasterClass: Interview Success: Watch. Learn. Perform.</t>
  </si>
  <si>
    <t xml:space="preserve">Career Essentials: LinkedIn - Sourcing Opportunities and Raising Your Profile</t>
  </si>
  <si>
    <t xml:space="preserve">LinkedIn is an excellent source of networking and opportunities - learn how to update your profile and use the platform to its full capacity in this session.</t>
  </si>
  <si>
    <t xml:space="preserve">Nomura Banking Trek: Office Visit and Insight Day - London HQ</t>
  </si>
  <si>
    <t xml:space="preserve">PLEASE NOTE: This is an insight day limited to selected people who fulfil the requirements for Nomura's graduate and internship roles. You will have to fill out a MS form and we will contact you prior the visit of the outcome.</t>
  </si>
  <si>
    <t xml:space="preserve">BossUp: Understanding AI Readiness Webinar</t>
  </si>
  <si>
    <t xml:space="preserve">UCL Careers, in partnership with BossUp, are looking at what AI readiness really means beyond simply using tools such as ChatGPT and how you can start developing now to improve your future employability.</t>
  </si>
  <si>
    <t xml:space="preserve">Employer-Led Skills Panel : Commercial Awareness (what it is, why you need it and how to show it) with graduate recruiters</t>
  </si>
  <si>
    <t xml:space="preserve">Employer-led panel discussion on developing commercial awareness skills, learn the importance of it, the need for it and how to show it.</t>
  </si>
  <si>
    <t xml:space="preserve">OC&amp;C Strategy Consultants</t>
  </si>
  <si>
    <t xml:space="preserve">Cathay Early Careers Engagement Session: Career Sharing, Insider Tips and Networking</t>
  </si>
  <si>
    <t xml:space="preserve">On Campus: 1-19 Torrington Place: Room G12</t>
  </si>
  <si>
    <t xml:space="preserve">Join Cathay at UCL to explore graduate, internship and cadet pilot opportunities in Hong Kong. Learn about its business and culture, gain practical CV and interview tips, and connect with the Talent Acquisition Team.</t>
  </si>
  <si>
    <t xml:space="preserve">The 2-Hour Grad Scheme: Black History Month Edition</t>
  </si>
  <si>
    <t xml:space="preserve">On Campus: Winter Garden (30 Guilford Street) in UCL GOSICH - Philip Ullman Wing</t>
  </si>
  <si>
    <t xml:space="preserve">This unique event is designed to give students and graduates the opportunity to hear directly from professionals who have successfully navigated their careers, overcome challenges and made a meaningful impact in their fields.</t>
  </si>
  <si>
    <t xml:space="preserve">Swire Management Programme 2027: Shaping Future Business Leaders</t>
  </si>
  <si>
    <t xml:space="preserve">Join us for an exciting career presentation in London. Discover how our programme can propel you towards a global leadership journey!</t>
  </si>
  <si>
    <t xml:space="preserve">Discover JPMorganChase 2027 Asia Analyst Development Program</t>
  </si>
  <si>
    <t xml:space="preserve">Interested in financial services in Southeast Asia? Join JPMorganChase to learn about the Asia Analyst Development Program (AADP)</t>
  </si>
  <si>
    <t xml:space="preserve">How to prepare for psychometric tests with CIMA</t>
  </si>
  <si>
    <t xml:space="preserve">Psychometric testing has become increasingly popular with employers in the recruitment of their apprenticeships, internships, placements, graduate roles and jobs at all levels. Join a Student Recruitment specialist at CIMA to find out more.</t>
  </si>
  <si>
    <t xml:space="preserve">CIMA</t>
  </si>
  <si>
    <r>
      <rPr>
        <sz val="10"/>
        <rFont val="Arial"/>
        <family val="0"/>
        <charset val="1"/>
      </rPr>
      <t xml:space="preserve">Keeta Campus Recruitment 2027 Online Info Session </t>
    </r>
    <r>
      <rPr>
        <sz val="10"/>
        <rFont val="Noto Sans CJK SC"/>
        <family val="2"/>
      </rPr>
      <t xml:space="preserve">美团国际化业务 </t>
    </r>
    <r>
      <rPr>
        <sz val="10"/>
        <rFont val="Arial"/>
        <family val="0"/>
        <charset val="1"/>
      </rPr>
      <t xml:space="preserve">Keeta · 2027</t>
    </r>
    <r>
      <rPr>
        <sz val="10"/>
        <rFont val="Noto Sans CJK SC"/>
        <family val="2"/>
      </rPr>
      <t xml:space="preserve">届校园线上宣讲会</t>
    </r>
  </si>
  <si>
    <r>
      <rPr>
        <sz val="10"/>
        <rFont val="Arial"/>
        <family val="0"/>
        <charset val="1"/>
      </rPr>
      <t xml:space="preserve">Keeta </t>
    </r>
    <r>
      <rPr>
        <sz val="10"/>
        <rFont val="Noto Sans CJK SC"/>
        <family val="2"/>
      </rPr>
      <t xml:space="preserve">是全球领先外卖平台美团旗下的独立品牌。我们肩负着</t>
    </r>
    <r>
      <rPr>
        <sz val="10"/>
        <rFont val="Arial"/>
        <family val="0"/>
        <charset val="1"/>
      </rPr>
      <t xml:space="preserve">"</t>
    </r>
    <r>
      <rPr>
        <sz val="10"/>
        <rFont val="Noto Sans CJK SC"/>
        <family val="2"/>
      </rPr>
      <t xml:space="preserve">帮大家吃得更好，生活更好</t>
    </r>
    <r>
      <rPr>
        <sz val="10"/>
        <rFont val="Arial"/>
        <family val="0"/>
        <charset val="1"/>
      </rPr>
      <t xml:space="preserve">"</t>
    </r>
    <r>
      <rPr>
        <sz val="10"/>
        <rFont val="Noto Sans CJK SC"/>
        <family val="2"/>
      </rPr>
      <t xml:space="preserve">的使命，依托美团深耕中国市场</t>
    </r>
    <r>
      <rPr>
        <sz val="10"/>
        <rFont val="Arial"/>
        <family val="0"/>
        <charset val="1"/>
      </rPr>
      <t xml:space="preserve">16</t>
    </r>
    <r>
      <rPr>
        <sz val="10"/>
        <rFont val="Noto Sans CJK SC"/>
        <family val="2"/>
      </rPr>
      <t xml:space="preserve">年的技术与运营积淀，我们正引领全球餐饮与商品即时配送服务的创新与发展。来 </t>
    </r>
    <r>
      <rPr>
        <sz val="10"/>
        <rFont val="Arial"/>
        <family val="0"/>
        <charset val="1"/>
      </rPr>
      <t xml:space="preserve">Keeta</t>
    </r>
    <r>
      <rPr>
        <sz val="10"/>
        <rFont val="Noto Sans CJK SC"/>
        <family val="2"/>
      </rPr>
      <t xml:space="preserve">，机会无界，成长无限！</t>
    </r>
  </si>
  <si>
    <r>
      <rPr>
        <sz val="10"/>
        <rFont val="Arial"/>
        <family val="0"/>
        <charset val="1"/>
      </rPr>
      <t xml:space="preserve">Exploring Career Opportunities with HSBC China (Mandarin Session </t>
    </r>
    <r>
      <rPr>
        <sz val="10"/>
        <rFont val="Noto Sans CJK SC"/>
        <family val="2"/>
      </rPr>
      <t xml:space="preserve">普通话</t>
    </r>
    <r>
      <rPr>
        <sz val="10"/>
        <rFont val="Arial"/>
        <family val="0"/>
        <charset val="1"/>
      </rPr>
      <t xml:space="preserve">)</t>
    </r>
  </si>
  <si>
    <t xml:space="preserve">Join representatives from HSBC China for a webinar exploring the bank's business in Chinese mainland, career pathways, and 2027 graduate and internship opportunities</t>
  </si>
  <si>
    <t xml:space="preserve">Masterclass in consulting: Case study interviews</t>
  </si>
  <si>
    <t xml:space="preserve">Prepare for the graduate recruitment cycle in this interactive/panel/informational session. Include the pathway interest if relevant, and any key words in this description.</t>
  </si>
  <si>
    <t xml:space="preserve">Skills East: Crafting A Standout CV &amp; Cover Letter</t>
  </si>
  <si>
    <t xml:space="preserve">UCL East Campus: Marshgate Building: Room 612</t>
  </si>
  <si>
    <t xml:space="preserve">In Person small group work Career Essentials session focusing on developing and writing an effective CV and cover letter from UCL Careers staff and peers.</t>
  </si>
  <si>
    <t xml:space="preserve">Career Essentials Group Work: Personal Statements for Postgraduate Degrees</t>
  </si>
  <si>
    <t xml:space="preserve">Small group work session focusing on the importance of tailoring applications, reviewing an example personal statement in a small group setting and how to apply this to individual personal statements.</t>
  </si>
  <si>
    <t xml:space="preserve">Digital Advertising in 2026: Channels, Data, AI and Global Growth</t>
  </si>
  <si>
    <t xml:space="preserve">On Campus: IOE - 20 Bedford Way - Room 828</t>
  </si>
  <si>
    <t xml:space="preserve">In this practical workshop, The Digital Lighthouse team will explore with students: How global brands choose channels, structure campaigns and measure performance and how AI is changing both the work and the skills employers value.</t>
  </si>
  <si>
    <t xml:space="preserve">Real Estate Private Equity and the Investment Committee</t>
  </si>
  <si>
    <t xml:space="preserve">UCL East Campus: One Pool Street Building: Room 105 (Cinema)</t>
  </si>
  <si>
    <t xml:space="preserve">Develop key skills relevant to a career in finance and investments</t>
  </si>
  <si>
    <t xml:space="preserve">Navigating your Visa Options with Paragon Law</t>
  </si>
  <si>
    <t xml:space="preserve">Understand your Visa options and timeline for now and after your studies</t>
  </si>
  <si>
    <t xml:space="preserve">WORKING IN A GLOBAL WORLD SERIES - 3: What Have Emotions Got to Do with It?</t>
  </si>
  <si>
    <t xml:space="preserve">In WGW 3, we will continue exploring beliefs, values, and identity, but from a new angle: emotions. The Awareness and Knowledge gain will help you manage, and even accelerate, the often uncomfortable process of engaging with another culture.</t>
  </si>
  <si>
    <t xml:space="preserve">Risk, compliance &amp; governance fundamentals: Managing risk, internal controls &amp; regulatory expectations with Fide Consulting</t>
  </si>
  <si>
    <t xml:space="preserve">Get practical insights into how organisations manage risk, implement internal controls, and respond to evolving regulatory expectations. Delivered with industry expertise from Fide Consulting.</t>
  </si>
  <si>
    <t xml:space="preserve">Tech, Data &amp; AI Fair</t>
  </si>
  <si>
    <t xml:space="preserve">On Campus: IOE - 20 Bedford Way - Jeffery Hall LT (Rm 103)</t>
  </si>
  <si>
    <t xml:space="preserve">The Tech, Data &amp; AI Careers Fair is your opportunity to meet with a wide range of organisations working in this popular sector.</t>
  </si>
  <si>
    <t xml:space="preserve">On Campus Employer Pop-Up with : Macquarie campus activation</t>
  </si>
  <si>
    <t xml:space="preserve">Join Macquarie on campus at UCL to learn more about our 2027 Spring Insight Week, Summer Internship and Graduate opportunities.</t>
  </si>
  <si>
    <t xml:space="preserve">On Campus Employer Presentation: Discover PwC: your future in a changing world</t>
  </si>
  <si>
    <t xml:space="preserve">You may have heard of the PwC name, but how much do you know about the work we do and the opportunities available? This guest lecture will introduce you to PwC, a professional services firm that brings together people, expertise and technology.</t>
  </si>
  <si>
    <t xml:space="preserve">PhD in Life &amp; Health Sciences — The Francis Crick Institute programme</t>
  </si>
  <si>
    <t xml:space="preserve">The Francis Crick Institute PhD Programme offers four years of interdisciplinary biomedical research and training. Hear from the programme team about the PhD Programme and the application process.</t>
  </si>
  <si>
    <t xml:space="preserve">Careers Essentials: Interview Success</t>
  </si>
  <si>
    <t xml:space="preserve">Prepare for your future interviews in this session where we discuss making first impressions, typical interview questions and ways to stand out.</t>
  </si>
  <si>
    <t xml:space="preserve">Sector Insights: Navigating the Civil Service Fast Stream</t>
  </si>
  <si>
    <t xml:space="preserve">Sector Insights</t>
  </si>
  <si>
    <t xml:space="preserve">Looking for more information about the government's flagship graduate programme: The Civil Service Fast Stream? Join us for an online panel and Q&amp;A event to hear Panellists share their reflections on the Civil Service Fast Stream.</t>
  </si>
  <si>
    <t xml:space="preserve">(International Students) Networking Skills</t>
  </si>
  <si>
    <t xml:space="preserve">International Students</t>
  </si>
  <si>
    <t xml:space="preserve">On Campus: IOE - 20 Bedford Way - 728</t>
  </si>
  <si>
    <t xml:space="preserve">Networking Skills</t>
  </si>
  <si>
    <t xml:space="preserve">Life &amp; Health Sciences Careers Talk: Researching Career Options</t>
  </si>
  <si>
    <t xml:space="preserve">Not sure what to do after your degree? Explore career options linked to your subject, discover ways to generate career ideas, learn how to research roles and sectors, and identify practical next steps to help shape your future career plans.</t>
  </si>
  <si>
    <t xml:space="preserve">Creating Games That Teach: Designing a "2mins" Educational and Financial App</t>
  </si>
  <si>
    <t xml:space="preserve">On Campus: IOE - 20 Bedford Way - Room 739</t>
  </si>
  <si>
    <t xml:space="preserve">In this interactive workshop, you'll get a behind-the-scenes look at how 2mins was developed before putting your own ideas to the test.</t>
  </si>
  <si>
    <t xml:space="preserve">2-Hour Science Graduate Scheme: Future Leaders Networking Forum</t>
  </si>
  <si>
    <t xml:space="preserve">On Campus: Wilkins Building - Yellow Room (G17)</t>
  </si>
  <si>
    <t xml:space="preserve">Explore your options. Meet current trainees. Discover where a graduate scheme could take you.</t>
  </si>
  <si>
    <t xml:space="preserve">Employer - Led Skills Panel : Preparing for Assessment Centre graduate recruiters</t>
  </si>
  <si>
    <t xml:space="preserve">Employer-led Skills Panel</t>
  </si>
  <si>
    <t xml:space="preserve">A panel session featuring graduate employers offering guidance on how to prepare for assessment centre activities.</t>
  </si>
  <si>
    <t xml:space="preserve">Career Essentials: Find and Fund a PhD</t>
  </si>
  <si>
    <t xml:space="preserve">This session gives an overview into PhD application materials such as constructing a personal statement, academic CV and a research proposal.</t>
  </si>
  <si>
    <t xml:space="preserve">Applying for a PhD in Life &amp; Health Science</t>
  </si>
  <si>
    <t xml:space="preserve">This seminar will provide practical guidance on finding suitable PhD opportunities in the UK and navigating the application process.</t>
  </si>
  <si>
    <t xml:space="preserve">Life &amp; Health Science Fair</t>
  </si>
  <si>
    <t xml:space="preserve">UCL, Imperial College London and King's College London invite you to this event. The Life and Health Science Careers Event is your opportunity to meet with a wide range of organisations working in this popular sector.</t>
  </si>
  <si>
    <t xml:space="preserve">Career Lab - Consulting Case Skills Practice Session</t>
  </si>
  <si>
    <t xml:space="preserve">practice market sizing, interpreting case exhibits and your casing communication skills in small groups</t>
  </si>
  <si>
    <t xml:space="preserve">Skills East: Job Interview Technique</t>
  </si>
  <si>
    <t xml:space="preserve">Online skills session focusing on learning the key techniques to prepare for an answer job interview questions from UCL Careers staff and peers.</t>
  </si>
  <si>
    <t xml:space="preserve">Here East Part-Time Jobs Fair October 2026</t>
  </si>
  <si>
    <t xml:space="preserve">In person (venue listed)</t>
  </si>
  <si>
    <t xml:space="preserve">Plexal, Ground Floor, Here East</t>
  </si>
  <si>
    <t xml:space="preserve">Working alongside your studies is a brilliant way to increase your employability and network. On 27th October, we will host a jobs fair at Here East on the Queen Elizabeth Olympic Park.</t>
  </si>
  <si>
    <t xml:space="preserve">Career Essentials: Your Future and How to Work Towards It</t>
  </si>
  <si>
    <t xml:space="preserve">Thinking about what your life and career will look like post graduation from UCL? In this session our team discusses potential options and ways to help you get to your next steps.</t>
  </si>
  <si>
    <t xml:space="preserve">Powered by AI: An Evening with Amazon Web Services (AWS)</t>
  </si>
  <si>
    <t xml:space="preserve">On Campus: IOE - 20 Bedford Way - Room W3.01</t>
  </si>
  <si>
    <t xml:space="preserve">Curious how AI is changing the way we learn, work and build careers? Join AWS experts and UCL alumni for insights into AI, real career journeys and practical advice, with opportunities to ask questions, take part in small-group mentoring and network.</t>
  </si>
  <si>
    <r>
      <rPr>
        <sz val="10"/>
        <rFont val="Arial"/>
        <family val="0"/>
        <charset val="1"/>
      </rPr>
      <t xml:space="preserve">Careers in China: Discover Your Strengths and Plan Your Next Steps </t>
    </r>
    <r>
      <rPr>
        <sz val="10"/>
        <rFont val="Noto Sans CJK SC"/>
        <family val="2"/>
      </rPr>
      <t xml:space="preserve">职通中国：看看你在求职这个丛林里，你是谁？ </t>
    </r>
    <r>
      <rPr>
        <sz val="10"/>
        <rFont val="Arial"/>
        <family val="0"/>
        <charset val="1"/>
      </rPr>
      <t xml:space="preserve">(Mandarin Session </t>
    </r>
    <r>
      <rPr>
        <sz val="10"/>
        <rFont val="Noto Sans CJK SC"/>
        <family val="2"/>
      </rPr>
      <t xml:space="preserve">普通话</t>
    </r>
    <r>
      <rPr>
        <sz val="10"/>
        <rFont val="Arial"/>
        <family val="0"/>
        <charset val="1"/>
      </rPr>
      <t xml:space="preserve">)</t>
    </r>
  </si>
  <si>
    <t xml:space="preserve">看看你在求职这个丛林里，你是谁？ 解锁你的竞争力专属标签 同步开启优质雇主秋招专属投递机会</t>
  </si>
  <si>
    <t xml:space="preserve">Explore Careers with Bloomberg</t>
  </si>
  <si>
    <t xml:space="preserve">On Campus: Canary Wharf Level 50, NW54 Lecture Theatre</t>
  </si>
  <si>
    <t xml:space="preserve">This session will provide an introduction to Bloomberg, explore career opportunities across the business, and offer insights into how Bloomberg's data, technology, and news services support global financial markets.</t>
  </si>
  <si>
    <t xml:space="preserve">Roundtable Chats with Industry Professionals</t>
  </si>
  <si>
    <t xml:space="preserve">Join for an interactive networking session where professionals from leading companies will host small-group discussions with students. Each professional will answer questions related to their career path/ industry, and then invite student questions.</t>
  </si>
  <si>
    <t xml:space="preserve">PhD in Life &amp; Health Sciences — HealthBRIDGE MRC Doctoral Landscape Award Programme</t>
  </si>
  <si>
    <t xml:space="preserve">The session will provide an overview of the HealthBRIDGE programme, including what makes a strong candidate and how to apply, followed by a live Q&amp;A with the programme representative. The main session will be recorded</t>
  </si>
  <si>
    <t xml:space="preserve">Life &amp; Health Sciences Careers Talk: CVs, Cover Letters &amp; Application Forms</t>
  </si>
  <si>
    <t xml:space="preserve">Want to improve your CVs and applications? This session uses real Life &amp; Health Sciences examples to show how to tailor your CV, write a compelling cover letter, tackle application form questions, and make the most of helpful resources.</t>
  </si>
  <si>
    <t xml:space="preserve">(International Students) Part-time, Graduate, and Skilled Worker Job Hunting</t>
  </si>
  <si>
    <t xml:space="preserve">On Campus: Bentham House, Denys Holland Lecture Theatre (Room SB31)</t>
  </si>
  <si>
    <t xml:space="preserve">Job Hunting UK</t>
  </si>
  <si>
    <t xml:space="preserve">WORKING IN A GLOBAL WORLD SERIES - 4: Teamwork Across Cultures</t>
  </si>
  <si>
    <t xml:space="preserve">This experiential session will give you a chance to practice and consolidate the concepts and practical tips covered in the first three sessions. You will also practice some new tools for how to communicate despite differences.</t>
  </si>
  <si>
    <t xml:space="preserve">Engineering &amp; Built Environment Fair</t>
  </si>
  <si>
    <t xml:space="preserve">The Engineering &amp; Built Environment Careers Fair is your opportunity to meet with a wide range of organisations working in this popular sector.</t>
  </si>
  <si>
    <t xml:space="preserve">Career Essentials: Better PhD applications</t>
  </si>
  <si>
    <t xml:space="preserve">What to expect when applying to do a PhD and how to ensure your application is effective in getting you to interview</t>
  </si>
  <si>
    <t xml:space="preserve">Careers in AI for Philosophers: Building the Rules for AI From First Principles</t>
  </si>
  <si>
    <t xml:space="preserve">On Campus: 14 - 16 Taviton Street: Daryll Forde Seminar Room (230)</t>
  </si>
  <si>
    <t xml:space="preserve">Join us for this event looking at how your skills and knowledge as a philosopher can be applied within AI careers</t>
  </si>
  <si>
    <t xml:space="preserve">Sector Insights: Building experience for a career in the non-profit sector</t>
  </si>
  <si>
    <t xml:space="preserve">Join this event to hear from alumni and industry professionals about the skills and opportunities that helped them build a career in non-profit sector, and their advice on what you can be doing right now to stand out to recruiters.</t>
  </si>
  <si>
    <t xml:space="preserve">Pitching Competition: The Big Idea Challenge - Headstart your career</t>
  </si>
  <si>
    <t xml:space="preserve">On Campus: Roberts Building: G08 Sir David Davies LT</t>
  </si>
  <si>
    <t xml:space="preserve">Explore how simple ideas can become real businesses. Add on CV, win prize and network with alumni</t>
  </si>
  <si>
    <t xml:space="preserve">Data Science Meets Product Innovation: UCL × DataSpartan × GuruAI Challenge</t>
  </si>
  <si>
    <t xml:space="preserve">Join DataSpartan, GuruAI and the UCL Data Science Society for an interactive innovation competition exploring the future of AI-powered music education. Work in interdisciplinary teams to tackle a real industry challenge.</t>
  </si>
  <si>
    <t xml:space="preserve">Employer-led Skills Programme: One to One Practice Interviews with F5</t>
  </si>
  <si>
    <t xml:space="preserve">Want to practice your interview skills? Participate in this one-to-one practice interview session for the opportunity to practice and to receive expert feedback from a graduate recruiter.</t>
  </si>
  <si>
    <t xml:space="preserve">F5</t>
  </si>
  <si>
    <t xml:space="preserve">Employer-led Skills workshop: Creativity for career impact with Aveea</t>
  </si>
  <si>
    <t xml:space="preserve">This practice workshop led by a graduate employer, provides an opportunity to practice and better understand your creativity skills and how it can be beneficial during your career journey.</t>
  </si>
  <si>
    <t xml:space="preserve">Life and Health Sciences careers talk: Understanding Graduate Schemes</t>
  </si>
  <si>
    <t xml:space="preserve">Graduate schemes or graduate jobs: which is right for you? Discover how they differ, explore the graduate job market, understand application timelines, and gain practical tips to help you make informed career decisions.</t>
  </si>
  <si>
    <t xml:space="preserve">Academic Horizons for Action: Researcher Networking Forum</t>
  </si>
  <si>
    <t xml:space="preserve">Academic Horizons for Action is a researcher networking forum, part of the UCL Work-Related Learning programme, a curated series of experiential learning events for students across the Life Sciences faculties.</t>
  </si>
  <si>
    <t xml:space="preserve">Career Lab - Answering Difficult Interview Questions</t>
  </si>
  <si>
    <t xml:space="preserve">Prepare for those difficult interview questions with this interactive practice session.</t>
  </si>
  <si>
    <t xml:space="preserve">eCareersGrad MasterClass: Assessment Centre Success: Watch. Learn. Perform.</t>
  </si>
  <si>
    <t xml:space="preserve">Careers in Consultancy - with the Young Management Consultancy Association</t>
  </si>
  <si>
    <t xml:space="preserve">How to prepare and stand out at an interview with CIMA</t>
  </si>
  <si>
    <t xml:space="preserve">This CIMA-led webinar will concentrate on interviews, there are many different types which range from the traditional face to face interviews to virtual and phone interviews.</t>
  </si>
  <si>
    <t xml:space="preserve">101-153</t>
  </si>
  <si>
    <t xml:space="preserve">Career Essentials: The 2 Hour Job Search</t>
  </si>
  <si>
    <t xml:space="preserve">Struggling with job hunting? The 2-Hour Job Search offers a systematic, step-by-step approach to finding roles via networking - even for complete beginners and total introverts!</t>
  </si>
  <si>
    <t xml:space="preserve">International Students: CVs, Cover Letters &amp; UK-Centric Skill Articulation</t>
  </si>
  <si>
    <t xml:space="preserve">Build confidence in translating your academic, professional and international experiences into the skills and capability UK employers are looking for.</t>
  </si>
  <si>
    <t xml:space="preserve">Ask-a-CHRO: Navigating Early Careers and the Modern Workplace</t>
  </si>
  <si>
    <t xml:space="preserve">Join Alex Nicolaus, Chief People Officer at Paysend, for a student led interactive Ask-a-CHRO session on understanding people functions and how human centric leadership operates in a global organisation.</t>
  </si>
  <si>
    <t xml:space="preserve">Law Fair</t>
  </si>
  <si>
    <t xml:space="preserve">The Law Careers Fair is your opportunity to meet with a wide range of organisations working in this popular sector.</t>
  </si>
  <si>
    <t xml:space="preserve">From Lab to Launch: Unpacking Life Science Industry Careers</t>
  </si>
  <si>
    <t xml:space="preserve">On Campus: IOE - 20 Bedford Way - Room 728</t>
  </si>
  <si>
    <t xml:space="preserve">From Lab to Launch: Unpacking Life Science Industry Careers is a mentoring workshop, part of the UCL Work-Related Learning programme, a curated series of experiential learning events for students across the Life and Medical Sciences faculties.</t>
  </si>
  <si>
    <t xml:space="preserve">Career Essentials: How to Build a Freelance Career</t>
  </si>
  <si>
    <t xml:space="preserve">Working freelance is a form of self-employment, and can be a rewarding way to build up your professional portfolio, enhance your experience, and boost your income. This session introduces you to key concepts to consider when becoming self-employed.</t>
  </si>
  <si>
    <t xml:space="preserve">Employer-led Skills Programme: One to One Practice Interviews with Scotiabank</t>
  </si>
  <si>
    <t xml:space="preserve">Discover International Organisations Day 2026</t>
  </si>
  <si>
    <t xml:space="preserve">Discover International Organisations Day (DIOD) is LSE Careers' flagship event for students and recent graduates interested in working in the international development and international organisations space.</t>
  </si>
  <si>
    <t xml:space="preserve">Get Hired!: Assessment Centre Group Activity Practice Session</t>
  </si>
  <si>
    <t xml:space="preserve">Experience a full group activity used in assessment centres and develop your skills and confidence</t>
  </si>
  <si>
    <t xml:space="preserve">STEM Education Challenge with Aveea: Create, Compete, Inspire</t>
  </si>
  <si>
    <t xml:space="preserve">On Campus: IOE - 20 Bedford Way - Room 642</t>
  </si>
  <si>
    <t xml:space="preserve">Could you create a STEM learning activity that a five-year-old can't stop talking about? In this hands-on challenge, you'll team up with Aveea - a UK non-profit bringing STEM to schools nationwide - to design and prototype ....</t>
  </si>
  <si>
    <t xml:space="preserve">Case interviewing practical workshop with James Brown from Savitas</t>
  </si>
  <si>
    <t xml:space="preserve">(International Students) Commercial Awareness: What UK Employers Want You To Know</t>
  </si>
  <si>
    <t xml:space="preserve">Commercial Awareness</t>
  </si>
  <si>
    <t xml:space="preserve">Mindful Futures: Mental Health Careers Beyond Clinical Psychology</t>
  </si>
  <si>
    <t xml:space="preserve">On Campus: IOE - 20 Bedford Way - Room W3.05</t>
  </si>
  <si>
    <t xml:space="preserve">This event is designed as a small-group experiential learning event with mental health professionals (spanning research, higher education, youth involvement, policy and frontline roles).</t>
  </si>
  <si>
    <t xml:space="preserve">How to tackle assessment centres with CIMA</t>
  </si>
  <si>
    <t xml:space="preserve">This CIMA-led webinar is aimed at giving you an insight into an employer's assessment centre. As you are probably aware assessment centres are a great way for employers to evaluate how you respond to different situations, tasks and tests.</t>
  </si>
  <si>
    <t xml:space="preserve">Career Essentials Group Work: Writing Applications for Unadvertised Opportunities</t>
  </si>
  <si>
    <t xml:space="preserve">In this session you will have the opportunity to develop your confidence around developing speculative cover emails, receive guidance from a trained facilitator and share ideas in a supportive small group environment with other students.</t>
  </si>
  <si>
    <t xml:space="preserve">(International Students) Group Mock Interview Simulation</t>
  </si>
  <si>
    <t xml:space="preserve">Interview Practice</t>
  </si>
  <si>
    <t xml:space="preserve">Career Essentials: Mock Assessment Centre</t>
  </si>
  <si>
    <t xml:space="preserve">Assessment Centres are an essential part of the recruitment process, come learn how to best prepare for these days and how to preform to the best of your abilities.</t>
  </si>
  <si>
    <t xml:space="preserve">Careers Essentials: Make the Most of UCL Careers Events - How to Connect with Employers</t>
  </si>
  <si>
    <t xml:space="preserve">Careers Fairs are an excellent opportunity to connect with potential employers - learn how best to network and how to make an impression.</t>
  </si>
  <si>
    <t xml:space="preserve">(International Students) Working During and After Your Studies</t>
  </si>
  <si>
    <t xml:space="preserve">Visa and Careers Talk</t>
  </si>
  <si>
    <t xml:space="preserve">Employer-Led Skills Panel: Adapting to workplace pressures and challenges with graduate recruiters</t>
  </si>
  <si>
    <t xml:space="preserve">Employer-led skills panel discussion on how to adapt and manage workplace pressures and challenges.</t>
  </si>
  <si>
    <t xml:space="preserve">Employer-led Skills Programme: One to One CV &amp; Application Checking with Lockton</t>
  </si>
  <si>
    <t xml:space="preserve">Lockton</t>
  </si>
  <si>
    <t xml:space="preserve">PhD in Life &amp; Health Sciences — CDT in Accelerated Medicines Design and Development</t>
  </si>
  <si>
    <t xml:space="preserve">The session will provide an overview of the CDT in Accelerated Medicines Design and Development, including what makes a strong candidate and how to apply, followed by a live Q&amp;A with the programme representative. The main session will be recorded.</t>
  </si>
  <si>
    <t xml:space="preserve">Career Essentials: An Introduction to the Graduate Job Market</t>
  </si>
  <si>
    <t xml:space="preserve">Learn about the graduate job market and how to navigate through resources when applying for graduate jobs, internships, and work experiences.</t>
  </si>
  <si>
    <t xml:space="preserve">Life &amp; Health Sciences careers talk: Job Hunting with LinkedIn</t>
  </si>
  <si>
    <t xml:space="preserve">Career Essentials: Discussing Disabilities or Health Conditions with Employers</t>
  </si>
  <si>
    <t xml:space="preserve">Employer-led skills workshop: Digital skills with Tata Consultancy Services</t>
  </si>
  <si>
    <t xml:space="preserve">This practice workshop led by a graduate employer, provides an opportunity to practice and better understand your digital skills.</t>
  </si>
  <si>
    <t xml:space="preserve">Career Essentials: Considering a Masters</t>
  </si>
  <si>
    <t xml:space="preserve">Our team reviews if a Masters level course is right for you all of the steps you need to take in preparation for furthering your education.</t>
  </si>
  <si>
    <t xml:space="preserve">Careers Essentials: How to Change Careers</t>
  </si>
  <si>
    <t xml:space="preserve">Did you have a career before coming to UCL? Are you looking to transition to a different career after UCL? If so, this is for you!</t>
  </si>
  <si>
    <t xml:space="preserve">Employer - Led Skills Panel : Succeeding at Interviews with graduate recruiters</t>
  </si>
  <si>
    <t xml:space="preserve">Employer-led Skills Programme: One to One Practice Interviews with Amazon</t>
  </si>
  <si>
    <t xml:space="preserve">Employer - Led Skills Panel : Marketing yourself to recruiters with graduate recruiters</t>
  </si>
  <si>
    <t xml:space="preserve">A panel session featuring graduate employers offering guidance on how to market yourself to recruiters.</t>
  </si>
  <si>
    <t xml:space="preserve">Employer-Led Skills Panel : Preparing for Assessment Centre with graduate recruiters</t>
  </si>
  <si>
    <t xml:space="preserve">A panel session featuring graduate recruiters offering guidance on how to prepare for assessment centre activities.</t>
  </si>
  <si>
    <t xml:space="preserve">Employer-led Skills Programme: One to One Practice Interviews with IBM</t>
  </si>
  <si>
    <t xml:space="preserve">Employer-led Skills Programme: One to One CV &amp; Application Checking with VolkerFitzPatrick</t>
  </si>
  <si>
    <t xml:space="preserve">VolkerFitzpatrick</t>
  </si>
  <si>
    <t xml:space="preserve">UCL Careers events listing - summary (all figures are formulas over the 'All Sessions' sheet)</t>
  </si>
  <si>
    <t xml:space="preserve">Distinct events listed</t>
  </si>
  <si>
    <t xml:space="preserve">Scheduled sessions (rows)</t>
  </si>
  <si>
    <t xml:space="preserve">Earliest session</t>
  </si>
  <si>
    <t xml:space="preserve">Latest session</t>
  </si>
  <si>
    <t xml:space="preserve">Sessions by delivery mode</t>
  </si>
  <si>
    <t xml:space="preserve">Sessions</t>
  </si>
  <si>
    <t xml:space="preserve">Total</t>
  </si>
  <si>
    <t xml:space="preserve">Sessions by month</t>
  </si>
  <si>
    <t xml:space="preserve">Oct 2026</t>
  </si>
  <si>
    <t xml:space="preserve">Nov 2026</t>
  </si>
  <si>
    <t xml:space="preserve">Dec 2026</t>
  </si>
  <si>
    <t xml:space="preserve">Jan 2027</t>
  </si>
  <si>
    <t xml:space="preserve">Feb 2027</t>
  </si>
  <si>
    <t xml:space="preserve">Sessions by series / programme</t>
  </si>
  <si>
    <t xml:space="preserve">Notes</t>
  </si>
  <si>
    <t xml:space="preserve">Source: UCL Careers 'Search events' listing (153 results), two PDF captures dated 13-Oct-2026 21:52/21:53.</t>
  </si>
  <si>
    <t xml:space="preserve">One row per scheduled date; events offered on several dates (e.g. eCareersGrad MasterClasses) repeat with 'Session x of y'.</t>
  </si>
  <si>
    <t xml:space="preserve">'Event Series / Programme' and 'Delivery Mode' are derived from the title and venue line respectively; all other fields are transcribed as listed.</t>
  </si>
  <si>
    <t xml:space="preserve">'Delivery Mode' = 'Not stated' where the listing shows no venue/format line; 'In person (venue listed)' where a venue is given without an On/Off Campus label.</t>
  </si>
  <si>
    <t xml:space="preserve">'Featured Organisation' records the sponsor logo shown beneath the description, where one appeared.</t>
  </si>
  <si>
    <t xml:space="preserve">Day and Duration are formulas and recalculate if a date or time is edited.</t>
  </si>
</sst>
</file>

<file path=xl/styles.xml><?xml version="1.0" encoding="utf-8"?>
<styleSheet xmlns="http://schemas.openxmlformats.org/spreadsheetml/2006/main">
  <numFmts count="5">
    <numFmt numFmtId="164" formatCode="General"/>
    <numFmt numFmtId="165" formatCode="dd\-mmm\-yyyy"/>
    <numFmt numFmtId="166" formatCode="hh:mm"/>
    <numFmt numFmtId="167" formatCode="0.00"/>
    <numFmt numFmtId="168"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Noto Sans CJK SC"/>
      <family val="2"/>
    </font>
    <font>
      <b val="true"/>
      <sz val="10"/>
      <name val="Arial"/>
      <family val="0"/>
      <charset val="1"/>
    </font>
  </fonts>
  <fills count="3">
    <fill>
      <patternFill patternType="none"/>
    </fill>
    <fill>
      <patternFill patternType="gray125"/>
    </fill>
    <fill>
      <patternFill patternType="solid">
        <fgColor rgb="FF500778"/>
        <bgColor rgb="FF80008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5007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500778"/>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Sessions" displayName="Sessions" ref="A1:O169" headerRowCount="1" totalsRowCount="0" totalsRowShown="0">
  <autoFilter ref="A1:O169"/>
  <tableColumns count="15">
    <tableColumn id="1" name="Event No."/>
    <tableColumn id="2" name="Session"/>
    <tableColumn id="3" name="Event Title"/>
    <tableColumn id="4" name="Event Series / Programme"/>
    <tableColumn id="5" name="Delivery Mode"/>
    <tableColumn id="6" name="Venue / Location (as listed)"/>
    <tableColumn id="7" name="Date"/>
    <tableColumn id="8" name="Day"/>
    <tableColumn id="9" name="Start Time"/>
    <tableColumn id="10" name="End Time"/>
    <tableColumn id="11" name="Duration (hrs)"/>
    <tableColumn id="12" name="Description"/>
    <tableColumn id="13" name="Featured Organisation (logo shown)"/>
    <tableColumn id="14" name="Listing Page (results)"/>
    <tableColumn id="15" name="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52"/>
    <col collapsed="false" customWidth="true" hidden="false" outlineLevel="0" max="4" min="4" style="0" width="28"/>
    <col collapsed="false" customWidth="true" hidden="false" outlineLevel="0" max="5" min="5" style="0" width="13"/>
    <col collapsed="false" customWidth="true" hidden="false" outlineLevel="0" max="6" min="6" style="0" width="42"/>
    <col collapsed="false" customWidth="true" hidden="false" outlineLevel="0" max="7" min="7" style="0" width="13"/>
    <col collapsed="false" customWidth="true" hidden="false" outlineLevel="0" max="8" min="8" style="0" width="7"/>
    <col collapsed="false" customWidth="true" hidden="false" outlineLevel="0" max="10" min="9" style="0" width="10"/>
    <col collapsed="false" customWidth="true" hidden="false" outlineLevel="0" max="11" min="11" style="0" width="12"/>
    <col collapsed="false" customWidth="true" hidden="false" outlineLevel="0" max="12" min="12" style="0" width="80"/>
    <col collapsed="false" customWidth="true" hidden="false" outlineLevel="0" max="13" min="13" style="0" width="24"/>
    <col collapsed="false" customWidth="true" hidden="false" outlineLevel="0" max="14" min="14" style="0" width="13"/>
    <col collapsed="false" customWidth="true" hidden="false" outlineLevel="0" max="15" min="15" style="0" width="40"/>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23.85" hidden="false" customHeight="false" outlineLevel="0" collapsed="false">
      <c r="A2" s="2" t="n">
        <v>1</v>
      </c>
      <c r="B2" s="2" t="s">
        <v>15</v>
      </c>
      <c r="C2" s="3" t="s">
        <v>16</v>
      </c>
      <c r="D2" s="2" t="s">
        <v>17</v>
      </c>
      <c r="E2" s="2" t="s">
        <v>18</v>
      </c>
      <c r="F2" s="3" t="s">
        <v>19</v>
      </c>
      <c r="G2" s="4" t="n">
        <v>46303</v>
      </c>
      <c r="H2" s="2" t="str">
        <f aca="false">TEXT(G2,"ddd")</f>
        <v>Thu</v>
      </c>
      <c r="I2" s="5" t="n">
        <v>0.506944444444444</v>
      </c>
      <c r="J2" s="5" t="n">
        <v>0.541666666666667</v>
      </c>
      <c r="K2" s="6" t="n">
        <f aca="false">ROUND((J2-I2)*24,2)</f>
        <v>0.83</v>
      </c>
      <c r="L2" s="3" t="s">
        <v>20</v>
      </c>
      <c r="M2" s="2"/>
      <c r="N2" s="2" t="s">
        <v>21</v>
      </c>
      <c r="O2" s="2" t="s">
        <v>22</v>
      </c>
    </row>
    <row r="3" customFormat="false" ht="23.85" hidden="false" customHeight="false" outlineLevel="0" collapsed="false">
      <c r="A3" s="2" t="n">
        <v>1</v>
      </c>
      <c r="B3" s="2" t="s">
        <v>23</v>
      </c>
      <c r="C3" s="3" t="s">
        <v>16</v>
      </c>
      <c r="D3" s="2" t="s">
        <v>17</v>
      </c>
      <c r="E3" s="2" t="s">
        <v>18</v>
      </c>
      <c r="F3" s="3" t="s">
        <v>19</v>
      </c>
      <c r="G3" s="4" t="n">
        <v>46309</v>
      </c>
      <c r="H3" s="2" t="str">
        <f aca="false">TEXT(G3,"ddd")</f>
        <v>Wed</v>
      </c>
      <c r="I3" s="5" t="n">
        <v>0.506944444444444</v>
      </c>
      <c r="J3" s="5" t="n">
        <v>0.541666666666667</v>
      </c>
      <c r="K3" s="6" t="n">
        <f aca="false">ROUND((J3-I3)*24,2)</f>
        <v>0.83</v>
      </c>
      <c r="L3" s="3" t="s">
        <v>20</v>
      </c>
      <c r="M3" s="2"/>
      <c r="N3" s="2" t="s">
        <v>21</v>
      </c>
      <c r="O3" s="2" t="s">
        <v>22</v>
      </c>
    </row>
    <row r="4" customFormat="false" ht="23.85" hidden="false" customHeight="false" outlineLevel="0" collapsed="false">
      <c r="A4" s="2" t="n">
        <v>1</v>
      </c>
      <c r="B4" s="2" t="s">
        <v>24</v>
      </c>
      <c r="C4" s="3" t="s">
        <v>16</v>
      </c>
      <c r="D4" s="2" t="s">
        <v>17</v>
      </c>
      <c r="E4" s="2" t="s">
        <v>18</v>
      </c>
      <c r="F4" s="3" t="s">
        <v>19</v>
      </c>
      <c r="G4" s="4" t="n">
        <v>46323</v>
      </c>
      <c r="H4" s="2" t="str">
        <f aca="false">TEXT(G4,"ddd")</f>
        <v>Wed</v>
      </c>
      <c r="I4" s="5" t="n">
        <v>0.506944444444444</v>
      </c>
      <c r="J4" s="5" t="n">
        <v>0.541666666666667</v>
      </c>
      <c r="K4" s="6" t="n">
        <f aca="false">ROUND((J4-I4)*24,2)</f>
        <v>0.83</v>
      </c>
      <c r="L4" s="3" t="s">
        <v>20</v>
      </c>
      <c r="M4" s="2"/>
      <c r="N4" s="2" t="s">
        <v>21</v>
      </c>
      <c r="O4" s="2" t="s">
        <v>22</v>
      </c>
    </row>
    <row r="5" customFormat="false" ht="23.85" hidden="false" customHeight="false" outlineLevel="0" collapsed="false">
      <c r="A5" s="2" t="n">
        <v>2</v>
      </c>
      <c r="B5" s="2" t="s">
        <v>25</v>
      </c>
      <c r="C5" s="3" t="s">
        <v>26</v>
      </c>
      <c r="D5" s="2" t="s">
        <v>17</v>
      </c>
      <c r="E5" s="2" t="s">
        <v>18</v>
      </c>
      <c r="F5" s="3" t="s">
        <v>19</v>
      </c>
      <c r="G5" s="4" t="n">
        <v>46303</v>
      </c>
      <c r="H5" s="2" t="str">
        <f aca="false">TEXT(G5,"ddd")</f>
        <v>Thu</v>
      </c>
      <c r="I5" s="5" t="n">
        <v>0.548611111111111</v>
      </c>
      <c r="J5" s="5" t="n">
        <v>0.583333333333333</v>
      </c>
      <c r="K5" s="6" t="n">
        <f aca="false">ROUND((J5-I5)*24,2)</f>
        <v>0.83</v>
      </c>
      <c r="L5" s="3" t="s">
        <v>20</v>
      </c>
      <c r="M5" s="2"/>
      <c r="N5" s="2" t="s">
        <v>21</v>
      </c>
      <c r="O5" s="2" t="s">
        <v>22</v>
      </c>
    </row>
    <row r="6" customFormat="false" ht="23.85" hidden="false" customHeight="false" outlineLevel="0" collapsed="false">
      <c r="A6" s="2" t="n">
        <v>2</v>
      </c>
      <c r="B6" s="2" t="s">
        <v>27</v>
      </c>
      <c r="C6" s="3" t="s">
        <v>26</v>
      </c>
      <c r="D6" s="2" t="s">
        <v>17</v>
      </c>
      <c r="E6" s="2" t="s">
        <v>18</v>
      </c>
      <c r="F6" s="3" t="s">
        <v>19</v>
      </c>
      <c r="G6" s="4" t="n">
        <v>46309</v>
      </c>
      <c r="H6" s="2" t="str">
        <f aca="false">TEXT(G6,"ddd")</f>
        <v>Wed</v>
      </c>
      <c r="I6" s="5" t="n">
        <v>0.548611111111111</v>
      </c>
      <c r="J6" s="5" t="n">
        <v>0.583333333333333</v>
      </c>
      <c r="K6" s="6" t="n">
        <f aca="false">ROUND((J6-I6)*24,2)</f>
        <v>0.83</v>
      </c>
      <c r="L6" s="3" t="s">
        <v>20</v>
      </c>
      <c r="M6" s="2"/>
      <c r="N6" s="2" t="s">
        <v>21</v>
      </c>
      <c r="O6" s="2" t="s">
        <v>22</v>
      </c>
    </row>
    <row r="7" customFormat="false" ht="23.85" hidden="false" customHeight="false" outlineLevel="0" collapsed="false">
      <c r="A7" s="2" t="n">
        <v>2</v>
      </c>
      <c r="B7" s="2" t="s">
        <v>28</v>
      </c>
      <c r="C7" s="3" t="s">
        <v>26</v>
      </c>
      <c r="D7" s="2" t="s">
        <v>17</v>
      </c>
      <c r="E7" s="2" t="s">
        <v>18</v>
      </c>
      <c r="F7" s="3" t="s">
        <v>19</v>
      </c>
      <c r="G7" s="4" t="n">
        <v>46315</v>
      </c>
      <c r="H7" s="2" t="str">
        <f aca="false">TEXT(G7,"ddd")</f>
        <v>Tue</v>
      </c>
      <c r="I7" s="5" t="n">
        <v>0.548611111111111</v>
      </c>
      <c r="J7" s="5" t="n">
        <v>0.583333333333333</v>
      </c>
      <c r="K7" s="6" t="n">
        <f aca="false">ROUND((J7-I7)*24,2)</f>
        <v>0.83</v>
      </c>
      <c r="L7" s="3" t="s">
        <v>20</v>
      </c>
      <c r="M7" s="2"/>
      <c r="N7" s="2" t="s">
        <v>21</v>
      </c>
      <c r="O7" s="2" t="s">
        <v>22</v>
      </c>
    </row>
    <row r="8" customFormat="false" ht="23.85" hidden="false" customHeight="false" outlineLevel="0" collapsed="false">
      <c r="A8" s="2" t="n">
        <v>2</v>
      </c>
      <c r="B8" s="2" t="s">
        <v>29</v>
      </c>
      <c r="C8" s="3" t="s">
        <v>26</v>
      </c>
      <c r="D8" s="2" t="s">
        <v>17</v>
      </c>
      <c r="E8" s="2" t="s">
        <v>18</v>
      </c>
      <c r="F8" s="3" t="s">
        <v>19</v>
      </c>
      <c r="G8" s="4" t="n">
        <v>46323</v>
      </c>
      <c r="H8" s="2" t="str">
        <f aca="false">TEXT(G8,"ddd")</f>
        <v>Wed</v>
      </c>
      <c r="I8" s="5" t="n">
        <v>0.548611111111111</v>
      </c>
      <c r="J8" s="5" t="n">
        <v>0.583333333333333</v>
      </c>
      <c r="K8" s="6" t="n">
        <f aca="false">ROUND((J8-I8)*24,2)</f>
        <v>0.83</v>
      </c>
      <c r="L8" s="3" t="s">
        <v>20</v>
      </c>
      <c r="M8" s="2"/>
      <c r="N8" s="2" t="s">
        <v>21</v>
      </c>
      <c r="O8" s="2" t="s">
        <v>22</v>
      </c>
    </row>
    <row r="9" customFormat="false" ht="23.85" hidden="false" customHeight="false" outlineLevel="0" collapsed="false">
      <c r="A9" s="2" t="n">
        <v>2</v>
      </c>
      <c r="B9" s="2" t="s">
        <v>30</v>
      </c>
      <c r="C9" s="3" t="s">
        <v>26</v>
      </c>
      <c r="D9" s="2" t="s">
        <v>17</v>
      </c>
      <c r="E9" s="2" t="s">
        <v>18</v>
      </c>
      <c r="F9" s="3" t="s">
        <v>19</v>
      </c>
      <c r="G9" s="4" t="n">
        <v>46335</v>
      </c>
      <c r="H9" s="2" t="str">
        <f aca="false">TEXT(G9,"ddd")</f>
        <v>Mon</v>
      </c>
      <c r="I9" s="5" t="n">
        <v>0.548611111111111</v>
      </c>
      <c r="J9" s="5" t="n">
        <v>0.583333333333333</v>
      </c>
      <c r="K9" s="6" t="n">
        <f aca="false">ROUND((J9-I9)*24,2)</f>
        <v>0.83</v>
      </c>
      <c r="L9" s="3" t="s">
        <v>20</v>
      </c>
      <c r="M9" s="2"/>
      <c r="N9" s="2" t="s">
        <v>21</v>
      </c>
      <c r="O9" s="2" t="s">
        <v>22</v>
      </c>
    </row>
    <row r="10" customFormat="false" ht="23.85" hidden="false" customHeight="false" outlineLevel="0" collapsed="false">
      <c r="A10" s="2" t="n">
        <v>2</v>
      </c>
      <c r="B10" s="2" t="s">
        <v>31</v>
      </c>
      <c r="C10" s="3" t="s">
        <v>26</v>
      </c>
      <c r="D10" s="2" t="s">
        <v>17</v>
      </c>
      <c r="E10" s="2" t="s">
        <v>18</v>
      </c>
      <c r="F10" s="3" t="s">
        <v>19</v>
      </c>
      <c r="G10" s="4" t="n">
        <v>46352</v>
      </c>
      <c r="H10" s="2" t="str">
        <f aca="false">TEXT(G10,"ddd")</f>
        <v>Thu</v>
      </c>
      <c r="I10" s="5" t="n">
        <v>0.548611111111111</v>
      </c>
      <c r="J10" s="5" t="n">
        <v>0.583333333333333</v>
      </c>
      <c r="K10" s="6" t="n">
        <f aca="false">ROUND((J10-I10)*24,2)</f>
        <v>0.83</v>
      </c>
      <c r="L10" s="3" t="s">
        <v>20</v>
      </c>
      <c r="M10" s="2"/>
      <c r="N10" s="2" t="s">
        <v>21</v>
      </c>
      <c r="O10" s="2" t="s">
        <v>22</v>
      </c>
    </row>
    <row r="11" customFormat="false" ht="23.85" hidden="false" customHeight="false" outlineLevel="0" collapsed="false">
      <c r="A11" s="2" t="n">
        <v>3</v>
      </c>
      <c r="B11" s="2" t="s">
        <v>32</v>
      </c>
      <c r="C11" s="3" t="s">
        <v>33</v>
      </c>
      <c r="D11" s="2" t="s">
        <v>34</v>
      </c>
      <c r="E11" s="2" t="s">
        <v>35</v>
      </c>
      <c r="F11" s="3" t="s">
        <v>36</v>
      </c>
      <c r="G11" s="4" t="n">
        <v>46308</v>
      </c>
      <c r="H11" s="2" t="str">
        <f aca="false">TEXT(G11,"ddd")</f>
        <v>Tue</v>
      </c>
      <c r="I11" s="5" t="n">
        <v>0.395833333333333</v>
      </c>
      <c r="J11" s="5" t="n">
        <v>0.458333333333333</v>
      </c>
      <c r="K11" s="6" t="n">
        <f aca="false">ROUND((J11-I11)*24,2)</f>
        <v>1.5</v>
      </c>
      <c r="L11" s="3" t="s">
        <v>37</v>
      </c>
      <c r="M11" s="2"/>
      <c r="N11" s="2" t="s">
        <v>21</v>
      </c>
      <c r="O11" s="2" t="s">
        <v>22</v>
      </c>
    </row>
    <row r="12" customFormat="false" ht="23.85" hidden="false" customHeight="false" outlineLevel="0" collapsed="false">
      <c r="A12" s="2" t="n">
        <v>4</v>
      </c>
      <c r="B12" s="2" t="s">
        <v>32</v>
      </c>
      <c r="C12" s="3" t="s">
        <v>38</v>
      </c>
      <c r="D12" s="2" t="s">
        <v>39</v>
      </c>
      <c r="E12" s="2" t="s">
        <v>18</v>
      </c>
      <c r="F12" s="3" t="s">
        <v>19</v>
      </c>
      <c r="G12" s="4" t="n">
        <v>46308</v>
      </c>
      <c r="H12" s="2" t="str">
        <f aca="false">TEXT(G12,"ddd")</f>
        <v>Tue</v>
      </c>
      <c r="I12" s="5" t="n">
        <v>0.5</v>
      </c>
      <c r="J12" s="5" t="n">
        <v>0.5625</v>
      </c>
      <c r="K12" s="6" t="n">
        <f aca="false">ROUND((J12-I12)*24,2)</f>
        <v>1.5</v>
      </c>
      <c r="L12" s="3" t="s">
        <v>40</v>
      </c>
      <c r="M12" s="2"/>
      <c r="N12" s="2" t="s">
        <v>21</v>
      </c>
      <c r="O12" s="2" t="s">
        <v>22</v>
      </c>
    </row>
    <row r="13" customFormat="false" ht="35.05" hidden="false" customHeight="false" outlineLevel="0" collapsed="false">
      <c r="A13" s="2" t="n">
        <v>5</v>
      </c>
      <c r="B13" s="2" t="s">
        <v>32</v>
      </c>
      <c r="C13" s="3" t="s">
        <v>41</v>
      </c>
      <c r="D13" s="2" t="s">
        <v>42</v>
      </c>
      <c r="E13" s="2" t="s">
        <v>18</v>
      </c>
      <c r="F13" s="3" t="s">
        <v>19</v>
      </c>
      <c r="G13" s="4" t="n">
        <v>46308</v>
      </c>
      <c r="H13" s="2" t="str">
        <f aca="false">TEXT(G13,"ddd")</f>
        <v>Tue</v>
      </c>
      <c r="I13" s="5" t="n">
        <v>0.5</v>
      </c>
      <c r="J13" s="5" t="n">
        <v>0.541666666666667</v>
      </c>
      <c r="K13" s="6" t="n">
        <f aca="false">ROUND((J13-I13)*24,2)</f>
        <v>1</v>
      </c>
      <c r="L13" s="3" t="s">
        <v>43</v>
      </c>
      <c r="M13" s="2"/>
      <c r="N13" s="2" t="s">
        <v>21</v>
      </c>
      <c r="O13" s="2" t="s">
        <v>22</v>
      </c>
    </row>
    <row r="14" customFormat="false" ht="23.85" hidden="false" customHeight="false" outlineLevel="0" collapsed="false">
      <c r="A14" s="2" t="n">
        <v>6</v>
      </c>
      <c r="B14" s="2" t="s">
        <v>32</v>
      </c>
      <c r="C14" s="3" t="s">
        <v>44</v>
      </c>
      <c r="D14" s="2" t="s">
        <v>45</v>
      </c>
      <c r="E14" s="2" t="s">
        <v>35</v>
      </c>
      <c r="F14" s="3" t="s">
        <v>46</v>
      </c>
      <c r="G14" s="4" t="n">
        <v>46308</v>
      </c>
      <c r="H14" s="2" t="str">
        <f aca="false">TEXT(G14,"ddd")</f>
        <v>Tue</v>
      </c>
      <c r="I14" s="5" t="n">
        <v>0.541666666666667</v>
      </c>
      <c r="J14" s="5" t="n">
        <v>0.576388888888889</v>
      </c>
      <c r="K14" s="6" t="n">
        <f aca="false">ROUND((J14-I14)*24,2)</f>
        <v>0.83</v>
      </c>
      <c r="L14" s="3" t="s">
        <v>47</v>
      </c>
      <c r="M14" s="2"/>
      <c r="N14" s="2" t="s">
        <v>21</v>
      </c>
      <c r="O14" s="2" t="s">
        <v>22</v>
      </c>
    </row>
    <row r="15" customFormat="false" ht="23.85" hidden="false" customHeight="false" outlineLevel="0" collapsed="false">
      <c r="A15" s="2" t="n">
        <v>7</v>
      </c>
      <c r="B15" s="2" t="s">
        <v>32</v>
      </c>
      <c r="C15" s="3" t="s">
        <v>48</v>
      </c>
      <c r="D15" s="2" t="s">
        <v>49</v>
      </c>
      <c r="E15" s="2" t="s">
        <v>50</v>
      </c>
      <c r="F15" s="3"/>
      <c r="G15" s="4" t="n">
        <v>46308</v>
      </c>
      <c r="H15" s="2" t="str">
        <f aca="false">TEXT(G15,"ddd")</f>
        <v>Tue</v>
      </c>
      <c r="I15" s="5" t="n">
        <v>0.541666666666667</v>
      </c>
      <c r="J15" s="5" t="n">
        <v>0.583333333333333</v>
      </c>
      <c r="K15" s="6" t="n">
        <f aca="false">ROUND((J15-I15)*24,2)</f>
        <v>1</v>
      </c>
      <c r="L15" s="3" t="s">
        <v>51</v>
      </c>
      <c r="M15" s="2"/>
      <c r="N15" s="2" t="s">
        <v>21</v>
      </c>
      <c r="O15" s="2" t="s">
        <v>22</v>
      </c>
    </row>
    <row r="16" customFormat="false" ht="35.05" hidden="false" customHeight="false" outlineLevel="0" collapsed="false">
      <c r="A16" s="2" t="n">
        <v>8</v>
      </c>
      <c r="B16" s="2" t="s">
        <v>32</v>
      </c>
      <c r="C16" s="3" t="s">
        <v>52</v>
      </c>
      <c r="D16" s="2" t="s">
        <v>53</v>
      </c>
      <c r="E16" s="2" t="s">
        <v>18</v>
      </c>
      <c r="F16" s="3" t="s">
        <v>19</v>
      </c>
      <c r="G16" s="4" t="n">
        <v>46308</v>
      </c>
      <c r="H16" s="2" t="str">
        <f aca="false">TEXT(G16,"ddd")</f>
        <v>Tue</v>
      </c>
      <c r="I16" s="5" t="n">
        <v>0.708333333333333</v>
      </c>
      <c r="J16" s="5" t="n">
        <v>0.75</v>
      </c>
      <c r="K16" s="6" t="n">
        <f aca="false">ROUND((J16-I16)*24,2)</f>
        <v>1</v>
      </c>
      <c r="L16" s="3" t="s">
        <v>54</v>
      </c>
      <c r="M16" s="2"/>
      <c r="N16" s="2" t="s">
        <v>21</v>
      </c>
      <c r="O16" s="2" t="s">
        <v>22</v>
      </c>
    </row>
    <row r="17" customFormat="false" ht="15" hidden="false" customHeight="false" outlineLevel="0" collapsed="false">
      <c r="A17" s="2" t="n">
        <v>9</v>
      </c>
      <c r="B17" s="2" t="s">
        <v>32</v>
      </c>
      <c r="C17" s="3" t="s">
        <v>55</v>
      </c>
      <c r="D17" s="2" t="s">
        <v>39</v>
      </c>
      <c r="E17" s="2" t="s">
        <v>35</v>
      </c>
      <c r="F17" s="3" t="s">
        <v>56</v>
      </c>
      <c r="G17" s="4" t="n">
        <v>46308</v>
      </c>
      <c r="H17" s="2" t="str">
        <f aca="false">TEXT(G17,"ddd")</f>
        <v>Tue</v>
      </c>
      <c r="I17" s="5" t="n">
        <v>0.75</v>
      </c>
      <c r="J17" s="5" t="n">
        <v>0.875</v>
      </c>
      <c r="K17" s="6" t="n">
        <f aca="false">ROUND((J17-I17)*24,2)</f>
        <v>3</v>
      </c>
      <c r="L17" s="3" t="s">
        <v>57</v>
      </c>
      <c r="M17" s="2"/>
      <c r="N17" s="2" t="s">
        <v>21</v>
      </c>
      <c r="O17" s="2" t="s">
        <v>22</v>
      </c>
    </row>
    <row r="18" customFormat="false" ht="35.05" hidden="false" customHeight="false" outlineLevel="0" collapsed="false">
      <c r="A18" s="2" t="n">
        <v>10</v>
      </c>
      <c r="B18" s="2" t="s">
        <v>32</v>
      </c>
      <c r="C18" s="3" t="s">
        <v>58</v>
      </c>
      <c r="D18" s="2" t="s">
        <v>39</v>
      </c>
      <c r="E18" s="2" t="s">
        <v>35</v>
      </c>
      <c r="F18" s="3" t="s">
        <v>59</v>
      </c>
      <c r="G18" s="4" t="n">
        <v>46309</v>
      </c>
      <c r="H18" s="2" t="str">
        <f aca="false">TEXT(G18,"ddd")</f>
        <v>Wed</v>
      </c>
      <c r="I18" s="5" t="n">
        <v>0.53125</v>
      </c>
      <c r="J18" s="5" t="n">
        <v>0.59375</v>
      </c>
      <c r="K18" s="6" t="n">
        <f aca="false">ROUND((J18-I18)*24,2)</f>
        <v>1.5</v>
      </c>
      <c r="L18" s="3" t="s">
        <v>60</v>
      </c>
      <c r="M18" s="2"/>
      <c r="N18" s="2" t="s">
        <v>21</v>
      </c>
      <c r="O18" s="2" t="s">
        <v>22</v>
      </c>
    </row>
    <row r="19" customFormat="false" ht="15" hidden="false" customHeight="false" outlineLevel="0" collapsed="false">
      <c r="A19" s="2" t="n">
        <v>11</v>
      </c>
      <c r="B19" s="2" t="s">
        <v>32</v>
      </c>
      <c r="C19" s="3" t="s">
        <v>61</v>
      </c>
      <c r="D19" s="2" t="s">
        <v>39</v>
      </c>
      <c r="E19" s="2" t="s">
        <v>18</v>
      </c>
      <c r="F19" s="3" t="s">
        <v>19</v>
      </c>
      <c r="G19" s="4" t="n">
        <v>46309</v>
      </c>
      <c r="H19" s="2" t="str">
        <f aca="false">TEXT(G19,"ddd")</f>
        <v>Wed</v>
      </c>
      <c r="I19" s="5" t="n">
        <v>0.53125</v>
      </c>
      <c r="J19" s="5" t="n">
        <v>0.59375</v>
      </c>
      <c r="K19" s="6" t="n">
        <f aca="false">ROUND((J19-I19)*24,2)</f>
        <v>1.5</v>
      </c>
      <c r="L19" s="3" t="s">
        <v>62</v>
      </c>
      <c r="M19" s="2"/>
      <c r="N19" s="2" t="s">
        <v>21</v>
      </c>
      <c r="O19" s="2" t="s">
        <v>22</v>
      </c>
    </row>
    <row r="20" customFormat="false" ht="23.85" hidden="false" customHeight="false" outlineLevel="0" collapsed="false">
      <c r="A20" s="2" t="n">
        <v>12</v>
      </c>
      <c r="B20" s="2" t="s">
        <v>32</v>
      </c>
      <c r="C20" s="3" t="s">
        <v>63</v>
      </c>
      <c r="D20" s="2" t="s">
        <v>64</v>
      </c>
      <c r="E20" s="2" t="s">
        <v>35</v>
      </c>
      <c r="F20" s="3" t="s">
        <v>46</v>
      </c>
      <c r="G20" s="4" t="n">
        <v>46309</v>
      </c>
      <c r="H20" s="2" t="str">
        <f aca="false">TEXT(G20,"ddd")</f>
        <v>Wed</v>
      </c>
      <c r="I20" s="5" t="n">
        <v>0.541666666666667</v>
      </c>
      <c r="J20" s="5" t="n">
        <v>0.604166666666667</v>
      </c>
      <c r="K20" s="6" t="n">
        <f aca="false">ROUND((J20-I20)*24,2)</f>
        <v>1.5</v>
      </c>
      <c r="L20" s="3" t="s">
        <v>65</v>
      </c>
      <c r="M20" s="2"/>
      <c r="N20" s="2" t="s">
        <v>21</v>
      </c>
      <c r="O20" s="2" t="s">
        <v>22</v>
      </c>
    </row>
    <row r="21" customFormat="false" ht="23.85" hidden="false" customHeight="false" outlineLevel="0" collapsed="false">
      <c r="A21" s="2" t="n">
        <v>13</v>
      </c>
      <c r="B21" s="2" t="s">
        <v>32</v>
      </c>
      <c r="C21" s="3" t="s">
        <v>66</v>
      </c>
      <c r="D21" s="2" t="s">
        <v>45</v>
      </c>
      <c r="E21" s="2" t="s">
        <v>18</v>
      </c>
      <c r="F21" s="3" t="s">
        <v>19</v>
      </c>
      <c r="G21" s="4" t="n">
        <v>46309</v>
      </c>
      <c r="H21" s="2" t="str">
        <f aca="false">TEXT(G21,"ddd")</f>
        <v>Wed</v>
      </c>
      <c r="I21" s="5" t="n">
        <v>0.541666666666667</v>
      </c>
      <c r="J21" s="5" t="n">
        <v>0.576388888888889</v>
      </c>
      <c r="K21" s="6" t="n">
        <f aca="false">ROUND((J21-I21)*24,2)</f>
        <v>0.83</v>
      </c>
      <c r="L21" s="3" t="s">
        <v>67</v>
      </c>
      <c r="M21" s="2"/>
      <c r="N21" s="2" t="s">
        <v>21</v>
      </c>
      <c r="O21" s="2" t="s">
        <v>22</v>
      </c>
    </row>
    <row r="22" customFormat="false" ht="35.05" hidden="false" customHeight="false" outlineLevel="0" collapsed="false">
      <c r="A22" s="2" t="n">
        <v>14</v>
      </c>
      <c r="B22" s="2" t="s">
        <v>32</v>
      </c>
      <c r="C22" s="3" t="s">
        <v>68</v>
      </c>
      <c r="D22" s="2" t="s">
        <v>39</v>
      </c>
      <c r="E22" s="2" t="s">
        <v>35</v>
      </c>
      <c r="F22" s="3" t="s">
        <v>69</v>
      </c>
      <c r="G22" s="4" t="n">
        <v>46309</v>
      </c>
      <c r="H22" s="2" t="str">
        <f aca="false">TEXT(G22,"ddd")</f>
        <v>Wed</v>
      </c>
      <c r="I22" s="5" t="n">
        <v>0.541666666666667</v>
      </c>
      <c r="J22" s="5" t="n">
        <v>0.583333333333333</v>
      </c>
      <c r="K22" s="6" t="n">
        <f aca="false">ROUND((J22-I22)*24,2)</f>
        <v>1</v>
      </c>
      <c r="L22" s="3" t="s">
        <v>70</v>
      </c>
      <c r="M22" s="2"/>
      <c r="N22" s="2" t="s">
        <v>21</v>
      </c>
      <c r="O22" s="2" t="s">
        <v>22</v>
      </c>
    </row>
    <row r="23" customFormat="false" ht="23.85" hidden="false" customHeight="false" outlineLevel="0" collapsed="false">
      <c r="A23" s="2" t="n">
        <v>15</v>
      </c>
      <c r="B23" s="2" t="s">
        <v>32</v>
      </c>
      <c r="C23" s="3" t="s">
        <v>71</v>
      </c>
      <c r="D23" s="2" t="s">
        <v>39</v>
      </c>
      <c r="E23" s="2" t="s">
        <v>35</v>
      </c>
      <c r="F23" s="3" t="s">
        <v>72</v>
      </c>
      <c r="G23" s="4" t="n">
        <v>46309</v>
      </c>
      <c r="H23" s="2" t="str">
        <f aca="false">TEXT(G23,"ddd")</f>
        <v>Wed</v>
      </c>
      <c r="I23" s="5" t="n">
        <v>0.552083333333333</v>
      </c>
      <c r="J23" s="5" t="n">
        <v>0.614583333333333</v>
      </c>
      <c r="K23" s="6" t="n">
        <f aca="false">ROUND((J23-I23)*24,2)</f>
        <v>1.5</v>
      </c>
      <c r="L23" s="3" t="s">
        <v>73</v>
      </c>
      <c r="M23" s="2"/>
      <c r="N23" s="2" t="s">
        <v>21</v>
      </c>
      <c r="O23" s="2" t="s">
        <v>22</v>
      </c>
    </row>
    <row r="24" customFormat="false" ht="35.05" hidden="false" customHeight="false" outlineLevel="0" collapsed="false">
      <c r="A24" s="2" t="n">
        <v>16</v>
      </c>
      <c r="B24" s="2" t="s">
        <v>32</v>
      </c>
      <c r="C24" s="3" t="s">
        <v>74</v>
      </c>
      <c r="D24" s="2" t="s">
        <v>39</v>
      </c>
      <c r="E24" s="2" t="s">
        <v>75</v>
      </c>
      <c r="F24" s="3" t="s">
        <v>75</v>
      </c>
      <c r="G24" s="4" t="n">
        <v>46309</v>
      </c>
      <c r="H24" s="2" t="str">
        <f aca="false">TEXT(G24,"ddd")</f>
        <v>Wed</v>
      </c>
      <c r="I24" s="5" t="n">
        <v>0.572916666666667</v>
      </c>
      <c r="J24" s="5" t="n">
        <v>0.666666666666667</v>
      </c>
      <c r="K24" s="6" t="n">
        <f aca="false">ROUND((J24-I24)*24,2)</f>
        <v>2.25</v>
      </c>
      <c r="L24" s="3" t="s">
        <v>76</v>
      </c>
      <c r="M24" s="2"/>
      <c r="N24" s="2" t="s">
        <v>21</v>
      </c>
      <c r="O24" s="2" t="s">
        <v>22</v>
      </c>
    </row>
    <row r="25" customFormat="false" ht="35.05" hidden="false" customHeight="false" outlineLevel="0" collapsed="false">
      <c r="A25" s="2" t="n">
        <v>17</v>
      </c>
      <c r="B25" s="2" t="s">
        <v>32</v>
      </c>
      <c r="C25" s="3" t="s">
        <v>77</v>
      </c>
      <c r="D25" s="2" t="s">
        <v>39</v>
      </c>
      <c r="E25" s="2" t="s">
        <v>18</v>
      </c>
      <c r="F25" s="3" t="s">
        <v>19</v>
      </c>
      <c r="G25" s="4" t="n">
        <v>46309</v>
      </c>
      <c r="H25" s="2" t="str">
        <f aca="false">TEXT(G25,"ddd")</f>
        <v>Wed</v>
      </c>
      <c r="I25" s="5" t="n">
        <v>0.583333333333333</v>
      </c>
      <c r="J25" s="5" t="n">
        <v>0.645833333333333</v>
      </c>
      <c r="K25" s="6" t="n">
        <f aca="false">ROUND((J25-I25)*24,2)</f>
        <v>1.5</v>
      </c>
      <c r="L25" s="3" t="s">
        <v>78</v>
      </c>
      <c r="M25" s="2"/>
      <c r="N25" s="2" t="s">
        <v>21</v>
      </c>
      <c r="O25" s="2" t="s">
        <v>22</v>
      </c>
    </row>
    <row r="26" customFormat="false" ht="35.05" hidden="false" customHeight="false" outlineLevel="0" collapsed="false">
      <c r="A26" s="2" t="n">
        <v>18</v>
      </c>
      <c r="B26" s="2" t="s">
        <v>32</v>
      </c>
      <c r="C26" s="3" t="s">
        <v>79</v>
      </c>
      <c r="D26" s="2" t="s">
        <v>80</v>
      </c>
      <c r="E26" s="2" t="s">
        <v>35</v>
      </c>
      <c r="F26" s="3" t="s">
        <v>46</v>
      </c>
      <c r="G26" s="4" t="n">
        <v>46309</v>
      </c>
      <c r="H26" s="2" t="str">
        <f aca="false">TEXT(G26,"ddd")</f>
        <v>Wed</v>
      </c>
      <c r="I26" s="5" t="n">
        <v>0.604166666666667</v>
      </c>
      <c r="J26" s="5" t="n">
        <v>0.708333333333333</v>
      </c>
      <c r="K26" s="6" t="n">
        <f aca="false">ROUND((J26-I26)*24,2)</f>
        <v>2.5</v>
      </c>
      <c r="L26" s="3" t="s">
        <v>81</v>
      </c>
      <c r="M26" s="2"/>
      <c r="N26" s="2" t="s">
        <v>21</v>
      </c>
      <c r="O26" s="2" t="s">
        <v>22</v>
      </c>
    </row>
    <row r="27" customFormat="false" ht="23.85" hidden="false" customHeight="false" outlineLevel="0" collapsed="false">
      <c r="A27" s="2" t="n">
        <v>19</v>
      </c>
      <c r="B27" s="2" t="s">
        <v>32</v>
      </c>
      <c r="C27" s="3" t="s">
        <v>82</v>
      </c>
      <c r="D27" s="2" t="s">
        <v>83</v>
      </c>
      <c r="E27" s="2" t="s">
        <v>35</v>
      </c>
      <c r="F27" s="3" t="s">
        <v>59</v>
      </c>
      <c r="G27" s="4" t="n">
        <v>46309</v>
      </c>
      <c r="H27" s="2" t="str">
        <f aca="false">TEXT(G27,"ddd")</f>
        <v>Wed</v>
      </c>
      <c r="I27" s="5" t="n">
        <v>0.604166666666667</v>
      </c>
      <c r="J27" s="5" t="n">
        <v>0.666666666666667</v>
      </c>
      <c r="K27" s="6" t="n">
        <f aca="false">ROUND((J27-I27)*24,2)</f>
        <v>1.5</v>
      </c>
      <c r="L27" s="3" t="s">
        <v>37</v>
      </c>
      <c r="M27" s="2"/>
      <c r="N27" s="2" t="s">
        <v>21</v>
      </c>
      <c r="O27" s="2" t="s">
        <v>22</v>
      </c>
    </row>
    <row r="28" customFormat="false" ht="35.05" hidden="false" customHeight="false" outlineLevel="0" collapsed="false">
      <c r="A28" s="2" t="n">
        <v>20</v>
      </c>
      <c r="B28" s="2" t="s">
        <v>32</v>
      </c>
      <c r="C28" s="3" t="s">
        <v>84</v>
      </c>
      <c r="D28" s="2" t="s">
        <v>39</v>
      </c>
      <c r="E28" s="2" t="s">
        <v>35</v>
      </c>
      <c r="F28" s="3" t="s">
        <v>85</v>
      </c>
      <c r="G28" s="4" t="n">
        <v>46309</v>
      </c>
      <c r="H28" s="2" t="str">
        <f aca="false">TEXT(G28,"ddd")</f>
        <v>Wed</v>
      </c>
      <c r="I28" s="5" t="n">
        <v>0.604166666666667</v>
      </c>
      <c r="J28" s="5" t="n">
        <v>0.65625</v>
      </c>
      <c r="K28" s="6" t="n">
        <f aca="false">ROUND((J28-I28)*24,2)</f>
        <v>1.25</v>
      </c>
      <c r="L28" s="3" t="s">
        <v>86</v>
      </c>
      <c r="M28" s="2"/>
      <c r="N28" s="2" t="s">
        <v>21</v>
      </c>
      <c r="O28" s="2" t="s">
        <v>22</v>
      </c>
    </row>
    <row r="29" customFormat="false" ht="23.85" hidden="false" customHeight="false" outlineLevel="0" collapsed="false">
      <c r="A29" s="2" t="n">
        <v>21</v>
      </c>
      <c r="B29" s="2" t="s">
        <v>32</v>
      </c>
      <c r="C29" s="3" t="s">
        <v>87</v>
      </c>
      <c r="D29" s="2" t="s">
        <v>88</v>
      </c>
      <c r="E29" s="2" t="s">
        <v>35</v>
      </c>
      <c r="F29" s="3" t="s">
        <v>89</v>
      </c>
      <c r="G29" s="4" t="n">
        <v>46309</v>
      </c>
      <c r="H29" s="2" t="str">
        <f aca="false">TEXT(G29,"ddd")</f>
        <v>Wed</v>
      </c>
      <c r="I29" s="5" t="n">
        <v>0.666666666666667</v>
      </c>
      <c r="J29" s="5" t="n">
        <v>0.791666666666667</v>
      </c>
      <c r="K29" s="6" t="n">
        <f aca="false">ROUND((J29-I29)*24,2)</f>
        <v>3</v>
      </c>
      <c r="L29" s="3" t="s">
        <v>90</v>
      </c>
      <c r="M29" s="2"/>
      <c r="N29" s="2" t="s">
        <v>21</v>
      </c>
      <c r="O29" s="2" t="s">
        <v>22</v>
      </c>
    </row>
    <row r="30" customFormat="false" ht="35.05" hidden="false" customHeight="false" outlineLevel="0" collapsed="false">
      <c r="A30" s="2" t="n">
        <v>22</v>
      </c>
      <c r="B30" s="2" t="s">
        <v>32</v>
      </c>
      <c r="C30" s="3" t="s">
        <v>91</v>
      </c>
      <c r="D30" s="2" t="s">
        <v>39</v>
      </c>
      <c r="E30" s="2" t="s">
        <v>35</v>
      </c>
      <c r="F30" s="3" t="s">
        <v>92</v>
      </c>
      <c r="G30" s="4" t="n">
        <v>46309</v>
      </c>
      <c r="H30" s="2" t="str">
        <f aca="false">TEXT(G30,"ddd")</f>
        <v>Wed</v>
      </c>
      <c r="I30" s="5" t="n">
        <v>0.708333333333333</v>
      </c>
      <c r="J30" s="5" t="n">
        <v>0.791666666666667</v>
      </c>
      <c r="K30" s="6" t="n">
        <f aca="false">ROUND((J30-I30)*24,2)</f>
        <v>2</v>
      </c>
      <c r="L30" s="3" t="s">
        <v>93</v>
      </c>
      <c r="M30" s="2"/>
      <c r="N30" s="2" t="s">
        <v>21</v>
      </c>
      <c r="O30" s="2" t="s">
        <v>22</v>
      </c>
    </row>
    <row r="31" customFormat="false" ht="35.05" hidden="false" customHeight="false" outlineLevel="0" collapsed="false">
      <c r="A31" s="2" t="n">
        <v>23</v>
      </c>
      <c r="B31" s="2" t="s">
        <v>32</v>
      </c>
      <c r="C31" s="3" t="s">
        <v>94</v>
      </c>
      <c r="D31" s="2" t="s">
        <v>39</v>
      </c>
      <c r="E31" s="2" t="s">
        <v>75</v>
      </c>
      <c r="F31" s="3" t="s">
        <v>75</v>
      </c>
      <c r="G31" s="4" t="n">
        <v>46310</v>
      </c>
      <c r="H31" s="2" t="str">
        <f aca="false">TEXT(G31,"ddd")</f>
        <v>Thu</v>
      </c>
      <c r="I31" s="5" t="n">
        <v>0.458333333333333</v>
      </c>
      <c r="J31" s="5" t="n">
        <v>0.541666666666667</v>
      </c>
      <c r="K31" s="6" t="n">
        <f aca="false">ROUND((J31-I31)*24,2)</f>
        <v>2</v>
      </c>
      <c r="L31" s="3" t="s">
        <v>95</v>
      </c>
      <c r="M31" s="2"/>
      <c r="N31" s="2" t="s">
        <v>21</v>
      </c>
      <c r="O31" s="2" t="s">
        <v>22</v>
      </c>
    </row>
    <row r="32" customFormat="false" ht="23.85" hidden="false" customHeight="false" outlineLevel="0" collapsed="false">
      <c r="A32" s="2" t="n">
        <v>24</v>
      </c>
      <c r="B32" s="2" t="s">
        <v>32</v>
      </c>
      <c r="C32" s="3" t="s">
        <v>96</v>
      </c>
      <c r="D32" s="2" t="s">
        <v>49</v>
      </c>
      <c r="E32" s="2" t="s">
        <v>18</v>
      </c>
      <c r="F32" s="3" t="s">
        <v>19</v>
      </c>
      <c r="G32" s="4" t="n">
        <v>46310</v>
      </c>
      <c r="H32" s="2" t="str">
        <f aca="false">TEXT(G32,"ddd")</f>
        <v>Thu</v>
      </c>
      <c r="I32" s="5" t="n">
        <v>0.541666666666667</v>
      </c>
      <c r="J32" s="5" t="n">
        <v>0.583333333333333</v>
      </c>
      <c r="K32" s="6" t="n">
        <f aca="false">ROUND((J32-I32)*24,2)</f>
        <v>1</v>
      </c>
      <c r="L32" s="3" t="s">
        <v>97</v>
      </c>
      <c r="M32" s="2"/>
      <c r="N32" s="2" t="s">
        <v>21</v>
      </c>
      <c r="O32" s="2" t="s">
        <v>22</v>
      </c>
    </row>
    <row r="33" customFormat="false" ht="35.05" hidden="false" customHeight="false" outlineLevel="0" collapsed="false">
      <c r="A33" s="2" t="n">
        <v>25</v>
      </c>
      <c r="B33" s="2" t="s">
        <v>32</v>
      </c>
      <c r="C33" s="3" t="s">
        <v>98</v>
      </c>
      <c r="D33" s="2" t="s">
        <v>99</v>
      </c>
      <c r="E33" s="2" t="s">
        <v>35</v>
      </c>
      <c r="F33" s="3" t="s">
        <v>100</v>
      </c>
      <c r="G33" s="4" t="n">
        <v>46310</v>
      </c>
      <c r="H33" s="2" t="str">
        <f aca="false">TEXT(G33,"ddd")</f>
        <v>Thu</v>
      </c>
      <c r="I33" s="5" t="n">
        <v>0.729166666666667</v>
      </c>
      <c r="J33" s="5" t="n">
        <v>0.791666666666667</v>
      </c>
      <c r="K33" s="6" t="n">
        <f aca="false">ROUND((J33-I33)*24,2)</f>
        <v>1.5</v>
      </c>
      <c r="L33" s="3" t="s">
        <v>101</v>
      </c>
      <c r="M33" s="2"/>
      <c r="N33" s="2" t="s">
        <v>21</v>
      </c>
      <c r="O33" s="2" t="s">
        <v>22</v>
      </c>
    </row>
    <row r="34" customFormat="false" ht="35.05" hidden="false" customHeight="false" outlineLevel="0" collapsed="false">
      <c r="A34" s="2" t="n">
        <v>26</v>
      </c>
      <c r="B34" s="2" t="s">
        <v>32</v>
      </c>
      <c r="C34" s="3" t="s">
        <v>102</v>
      </c>
      <c r="D34" s="2" t="s">
        <v>39</v>
      </c>
      <c r="E34" s="2" t="s">
        <v>35</v>
      </c>
      <c r="F34" s="3" t="s">
        <v>85</v>
      </c>
      <c r="G34" s="4" t="n">
        <v>46310</v>
      </c>
      <c r="H34" s="2" t="str">
        <f aca="false">TEXT(G34,"ddd")</f>
        <v>Thu</v>
      </c>
      <c r="I34" s="5" t="n">
        <v>0.760416666666667</v>
      </c>
      <c r="J34" s="5" t="n">
        <v>0.802083333333333</v>
      </c>
      <c r="K34" s="6" t="n">
        <f aca="false">ROUND((J34-I34)*24,2)</f>
        <v>1</v>
      </c>
      <c r="L34" s="3" t="s">
        <v>103</v>
      </c>
      <c r="M34" s="2"/>
      <c r="N34" s="2" t="s">
        <v>21</v>
      </c>
      <c r="O34" s="2" t="s">
        <v>22</v>
      </c>
    </row>
    <row r="35" customFormat="false" ht="23.85" hidden="false" customHeight="false" outlineLevel="0" collapsed="false">
      <c r="A35" s="2" t="n">
        <v>27</v>
      </c>
      <c r="B35" s="2" t="s">
        <v>32</v>
      </c>
      <c r="C35" s="3" t="s">
        <v>104</v>
      </c>
      <c r="D35" s="2" t="s">
        <v>49</v>
      </c>
      <c r="E35" s="2" t="s">
        <v>50</v>
      </c>
      <c r="F35" s="3"/>
      <c r="G35" s="4" t="n">
        <v>46311</v>
      </c>
      <c r="H35" s="2" t="str">
        <f aca="false">TEXT(G35,"ddd")</f>
        <v>Fri</v>
      </c>
      <c r="I35" s="5" t="n">
        <v>0.541666666666667</v>
      </c>
      <c r="J35" s="5" t="n">
        <v>0.583333333333333</v>
      </c>
      <c r="K35" s="6" t="n">
        <f aca="false">ROUND((J35-I35)*24,2)</f>
        <v>1</v>
      </c>
      <c r="L35" s="3" t="s">
        <v>105</v>
      </c>
      <c r="M35" s="2"/>
      <c r="N35" s="2" t="s">
        <v>21</v>
      </c>
      <c r="O35" s="2" t="s">
        <v>22</v>
      </c>
    </row>
    <row r="36" customFormat="false" ht="23.85" hidden="false" customHeight="false" outlineLevel="0" collapsed="false">
      <c r="A36" s="2" t="n">
        <v>28</v>
      </c>
      <c r="B36" s="2" t="s">
        <v>32</v>
      </c>
      <c r="C36" s="3" t="s">
        <v>106</v>
      </c>
      <c r="D36" s="2" t="s">
        <v>64</v>
      </c>
      <c r="E36" s="2" t="s">
        <v>35</v>
      </c>
      <c r="F36" s="3" t="s">
        <v>107</v>
      </c>
      <c r="G36" s="4" t="n">
        <v>46311</v>
      </c>
      <c r="H36" s="2" t="str">
        <f aca="false">TEXT(G36,"ddd")</f>
        <v>Fri</v>
      </c>
      <c r="I36" s="5" t="n">
        <v>0.583333333333333</v>
      </c>
      <c r="J36" s="5" t="n">
        <v>0.701388888888889</v>
      </c>
      <c r="K36" s="6" t="n">
        <f aca="false">ROUND((J36-I36)*24,2)</f>
        <v>2.83</v>
      </c>
      <c r="L36" s="3" t="s">
        <v>108</v>
      </c>
      <c r="M36" s="2"/>
      <c r="N36" s="2" t="s">
        <v>21</v>
      </c>
      <c r="O36" s="2" t="s">
        <v>22</v>
      </c>
    </row>
    <row r="37" customFormat="false" ht="35.05" hidden="false" customHeight="false" outlineLevel="0" collapsed="false">
      <c r="A37" s="2" t="n">
        <v>29</v>
      </c>
      <c r="B37" s="2" t="s">
        <v>32</v>
      </c>
      <c r="C37" s="3" t="s">
        <v>109</v>
      </c>
      <c r="D37" s="2" t="s">
        <v>39</v>
      </c>
      <c r="E37" s="2" t="s">
        <v>35</v>
      </c>
      <c r="F37" s="3" t="s">
        <v>110</v>
      </c>
      <c r="G37" s="4" t="n">
        <v>46311</v>
      </c>
      <c r="H37" s="2" t="str">
        <f aca="false">TEXT(G37,"ddd")</f>
        <v>Fri</v>
      </c>
      <c r="I37" s="5" t="n">
        <v>0.708333333333333</v>
      </c>
      <c r="J37" s="5" t="n">
        <v>0.791666666666667</v>
      </c>
      <c r="K37" s="6" t="n">
        <f aca="false">ROUND((J37-I37)*24,2)</f>
        <v>2</v>
      </c>
      <c r="L37" s="3" t="s">
        <v>111</v>
      </c>
      <c r="M37" s="2"/>
      <c r="N37" s="2" t="s">
        <v>21</v>
      </c>
      <c r="O37" s="2" t="s">
        <v>22</v>
      </c>
    </row>
    <row r="38" customFormat="false" ht="35.05" hidden="false" customHeight="false" outlineLevel="0" collapsed="false">
      <c r="A38" s="2" t="n">
        <v>30</v>
      </c>
      <c r="B38" s="2" t="s">
        <v>32</v>
      </c>
      <c r="C38" s="3" t="s">
        <v>112</v>
      </c>
      <c r="D38" s="2" t="s">
        <v>39</v>
      </c>
      <c r="E38" s="2" t="s">
        <v>50</v>
      </c>
      <c r="F38" s="3"/>
      <c r="G38" s="4" t="n">
        <v>46311</v>
      </c>
      <c r="H38" s="2" t="str">
        <f aca="false">TEXT(G38,"ddd")</f>
        <v>Fri</v>
      </c>
      <c r="I38" s="5" t="n">
        <v>0.770833333333333</v>
      </c>
      <c r="J38" s="5" t="n">
        <v>0.854166666666667</v>
      </c>
      <c r="K38" s="6" t="n">
        <f aca="false">ROUND((J38-I38)*24,2)</f>
        <v>2</v>
      </c>
      <c r="L38" s="3" t="s">
        <v>113</v>
      </c>
      <c r="M38" s="2"/>
      <c r="N38" s="2" t="s">
        <v>21</v>
      </c>
      <c r="O38" s="2" t="s">
        <v>22</v>
      </c>
    </row>
    <row r="39" customFormat="false" ht="15" hidden="false" customHeight="false" outlineLevel="0" collapsed="false">
      <c r="A39" s="2" t="n">
        <v>31</v>
      </c>
      <c r="B39" s="2" t="s">
        <v>114</v>
      </c>
      <c r="C39" s="3" t="s">
        <v>115</v>
      </c>
      <c r="D39" s="2" t="s">
        <v>39</v>
      </c>
      <c r="E39" s="2" t="s">
        <v>75</v>
      </c>
      <c r="F39" s="3" t="s">
        <v>75</v>
      </c>
      <c r="G39" s="4" t="n">
        <v>46312</v>
      </c>
      <c r="H39" s="2" t="str">
        <f aca="false">TEXT(G39,"ddd")</f>
        <v>Sat</v>
      </c>
      <c r="I39" s="5" t="n">
        <v>0.4375</v>
      </c>
      <c r="J39" s="5" t="n">
        <v>0.708333333333333</v>
      </c>
      <c r="K39" s="6" t="n">
        <f aca="false">ROUND((J39-I39)*24,2)</f>
        <v>6.5</v>
      </c>
      <c r="L39" s="3" t="s">
        <v>116</v>
      </c>
      <c r="M39" s="2"/>
      <c r="N39" s="2" t="s">
        <v>21</v>
      </c>
      <c r="O39" s="2" t="s">
        <v>22</v>
      </c>
    </row>
    <row r="40" customFormat="false" ht="15" hidden="false" customHeight="false" outlineLevel="0" collapsed="false">
      <c r="A40" s="2" t="n">
        <v>31</v>
      </c>
      <c r="B40" s="2" t="s">
        <v>117</v>
      </c>
      <c r="C40" s="3" t="s">
        <v>115</v>
      </c>
      <c r="D40" s="2" t="s">
        <v>39</v>
      </c>
      <c r="E40" s="2" t="s">
        <v>75</v>
      </c>
      <c r="F40" s="3" t="s">
        <v>75</v>
      </c>
      <c r="G40" s="4" t="n">
        <v>46313</v>
      </c>
      <c r="H40" s="2" t="str">
        <f aca="false">TEXT(G40,"ddd")</f>
        <v>Sun</v>
      </c>
      <c r="I40" s="5" t="n">
        <v>0.4375</v>
      </c>
      <c r="J40" s="5" t="n">
        <v>0.666666666666667</v>
      </c>
      <c r="K40" s="6" t="n">
        <f aca="false">ROUND((J40-I40)*24,2)</f>
        <v>5.5</v>
      </c>
      <c r="L40" s="3" t="s">
        <v>116</v>
      </c>
      <c r="M40" s="2"/>
      <c r="N40" s="2" t="s">
        <v>21</v>
      </c>
      <c r="O40" s="2" t="s">
        <v>22</v>
      </c>
    </row>
    <row r="41" customFormat="false" ht="23.85" hidden="false" customHeight="false" outlineLevel="0" collapsed="false">
      <c r="A41" s="2" t="n">
        <v>32</v>
      </c>
      <c r="B41" s="2" t="s">
        <v>32</v>
      </c>
      <c r="C41" s="3" t="s">
        <v>118</v>
      </c>
      <c r="D41" s="2" t="s">
        <v>99</v>
      </c>
      <c r="E41" s="2" t="s">
        <v>35</v>
      </c>
      <c r="F41" s="3" t="s">
        <v>119</v>
      </c>
      <c r="G41" s="4" t="n">
        <v>46314</v>
      </c>
      <c r="H41" s="2" t="str">
        <f aca="false">TEXT(G41,"ddd")</f>
        <v>Mon</v>
      </c>
      <c r="I41" s="5" t="n">
        <v>0.4375</v>
      </c>
      <c r="J41" s="5" t="n">
        <v>0.666666666666667</v>
      </c>
      <c r="K41" s="6" t="n">
        <f aca="false">ROUND((J41-I41)*24,2)</f>
        <v>5.5</v>
      </c>
      <c r="L41" s="3" t="s">
        <v>120</v>
      </c>
      <c r="M41" s="2"/>
      <c r="N41" s="2" t="s">
        <v>21</v>
      </c>
      <c r="O41" s="2" t="s">
        <v>22</v>
      </c>
    </row>
    <row r="42" customFormat="false" ht="23.85" hidden="false" customHeight="false" outlineLevel="0" collapsed="false">
      <c r="A42" s="2" t="n">
        <v>33</v>
      </c>
      <c r="B42" s="2" t="s">
        <v>32</v>
      </c>
      <c r="C42" s="3" t="s">
        <v>121</v>
      </c>
      <c r="D42" s="2" t="s">
        <v>45</v>
      </c>
      <c r="E42" s="2" t="s">
        <v>18</v>
      </c>
      <c r="F42" s="3" t="s">
        <v>19</v>
      </c>
      <c r="G42" s="4" t="n">
        <v>46314</v>
      </c>
      <c r="H42" s="2" t="str">
        <f aca="false">TEXT(G42,"ddd")</f>
        <v>Mon</v>
      </c>
      <c r="I42" s="5" t="n">
        <v>0.541666666666667</v>
      </c>
      <c r="J42" s="5" t="n">
        <v>0.576388888888889</v>
      </c>
      <c r="K42" s="6" t="n">
        <f aca="false">ROUND((J42-I42)*24,2)</f>
        <v>0.83</v>
      </c>
      <c r="L42" s="3" t="s">
        <v>122</v>
      </c>
      <c r="M42" s="2"/>
      <c r="N42" s="2" t="s">
        <v>21</v>
      </c>
      <c r="O42" s="2" t="s">
        <v>22</v>
      </c>
    </row>
    <row r="43" customFormat="false" ht="23.85" hidden="false" customHeight="false" outlineLevel="0" collapsed="false">
      <c r="A43" s="2" t="n">
        <v>34</v>
      </c>
      <c r="B43" s="2" t="s">
        <v>32</v>
      </c>
      <c r="C43" s="3" t="s">
        <v>123</v>
      </c>
      <c r="D43" s="2" t="s">
        <v>53</v>
      </c>
      <c r="E43" s="2" t="s">
        <v>50</v>
      </c>
      <c r="F43" s="3"/>
      <c r="G43" s="4" t="n">
        <v>46314</v>
      </c>
      <c r="H43" s="2" t="str">
        <f aca="false">TEXT(G43,"ddd")</f>
        <v>Mon</v>
      </c>
      <c r="I43" s="5" t="n">
        <v>0.541666666666667</v>
      </c>
      <c r="J43" s="5" t="n">
        <v>0.583333333333333</v>
      </c>
      <c r="K43" s="6" t="n">
        <f aca="false">ROUND((J43-I43)*24,2)</f>
        <v>1</v>
      </c>
      <c r="L43" s="3" t="s">
        <v>124</v>
      </c>
      <c r="M43" s="2"/>
      <c r="N43" s="2" t="s">
        <v>21</v>
      </c>
      <c r="O43" s="2" t="s">
        <v>22</v>
      </c>
    </row>
    <row r="44" customFormat="false" ht="23.85" hidden="false" customHeight="false" outlineLevel="0" collapsed="false">
      <c r="A44" s="2" t="n">
        <v>35</v>
      </c>
      <c r="B44" s="2" t="s">
        <v>32</v>
      </c>
      <c r="C44" s="3" t="s">
        <v>125</v>
      </c>
      <c r="D44" s="2" t="s">
        <v>99</v>
      </c>
      <c r="E44" s="2" t="s">
        <v>35</v>
      </c>
      <c r="F44" s="3" t="s">
        <v>46</v>
      </c>
      <c r="G44" s="4" t="n">
        <v>46314</v>
      </c>
      <c r="H44" s="2" t="str">
        <f aca="false">TEXT(G44,"ddd")</f>
        <v>Mon</v>
      </c>
      <c r="I44" s="5" t="n">
        <v>0.729166666666667</v>
      </c>
      <c r="J44" s="5" t="n">
        <v>0.791666666666667</v>
      </c>
      <c r="K44" s="6" t="n">
        <f aca="false">ROUND((J44-I44)*24,2)</f>
        <v>1.5</v>
      </c>
      <c r="L44" s="3" t="s">
        <v>126</v>
      </c>
      <c r="M44" s="2"/>
      <c r="N44" s="2" t="s">
        <v>21</v>
      </c>
      <c r="O44" s="2" t="s">
        <v>22</v>
      </c>
    </row>
    <row r="45" customFormat="false" ht="23.85" hidden="false" customHeight="false" outlineLevel="0" collapsed="false">
      <c r="A45" s="2" t="n">
        <v>36</v>
      </c>
      <c r="B45" s="2" t="s">
        <v>32</v>
      </c>
      <c r="C45" s="3" t="s">
        <v>127</v>
      </c>
      <c r="D45" s="2" t="s">
        <v>34</v>
      </c>
      <c r="E45" s="2" t="s">
        <v>35</v>
      </c>
      <c r="F45" s="3" t="s">
        <v>36</v>
      </c>
      <c r="G45" s="4" t="n">
        <v>46315</v>
      </c>
      <c r="H45" s="2" t="str">
        <f aca="false">TEXT(G45,"ddd")</f>
        <v>Tue</v>
      </c>
      <c r="I45" s="5" t="n">
        <v>0.395833333333333</v>
      </c>
      <c r="J45" s="5" t="n">
        <v>0.479166666666667</v>
      </c>
      <c r="K45" s="6" t="n">
        <f aca="false">ROUND((J45-I45)*24,2)</f>
        <v>2</v>
      </c>
      <c r="L45" s="3" t="s">
        <v>128</v>
      </c>
      <c r="M45" s="2"/>
      <c r="N45" s="2" t="s">
        <v>21</v>
      </c>
      <c r="O45" s="2" t="s">
        <v>22</v>
      </c>
    </row>
    <row r="46" customFormat="false" ht="23.85" hidden="false" customHeight="false" outlineLevel="0" collapsed="false">
      <c r="A46" s="2" t="n">
        <v>37</v>
      </c>
      <c r="B46" s="2" t="s">
        <v>25</v>
      </c>
      <c r="C46" s="3" t="s">
        <v>129</v>
      </c>
      <c r="D46" s="2" t="s">
        <v>17</v>
      </c>
      <c r="E46" s="2" t="s">
        <v>18</v>
      </c>
      <c r="F46" s="3" t="s">
        <v>19</v>
      </c>
      <c r="G46" s="4" t="n">
        <v>46315</v>
      </c>
      <c r="H46" s="2" t="str">
        <f aca="false">TEXT(G46,"ddd")</f>
        <v>Tue</v>
      </c>
      <c r="I46" s="5" t="n">
        <v>0.506944444444444</v>
      </c>
      <c r="J46" s="5" t="n">
        <v>0.541666666666667</v>
      </c>
      <c r="K46" s="6" t="n">
        <f aca="false">ROUND((J46-I46)*24,2)</f>
        <v>0.83</v>
      </c>
      <c r="L46" s="3" t="s">
        <v>20</v>
      </c>
      <c r="M46" s="2"/>
      <c r="N46" s="2" t="s">
        <v>21</v>
      </c>
      <c r="O46" s="2" t="s">
        <v>22</v>
      </c>
    </row>
    <row r="47" customFormat="false" ht="23.85" hidden="false" customHeight="false" outlineLevel="0" collapsed="false">
      <c r="A47" s="2" t="n">
        <v>37</v>
      </c>
      <c r="B47" s="2" t="s">
        <v>27</v>
      </c>
      <c r="C47" s="3" t="s">
        <v>129</v>
      </c>
      <c r="D47" s="2" t="s">
        <v>17</v>
      </c>
      <c r="E47" s="2" t="s">
        <v>18</v>
      </c>
      <c r="F47" s="3" t="s">
        <v>19</v>
      </c>
      <c r="G47" s="4" t="n">
        <v>46329</v>
      </c>
      <c r="H47" s="2" t="str">
        <f aca="false">TEXT(G47,"ddd")</f>
        <v>Tue</v>
      </c>
      <c r="I47" s="5" t="n">
        <v>0.506944444444444</v>
      </c>
      <c r="J47" s="5" t="n">
        <v>0.541666666666667</v>
      </c>
      <c r="K47" s="6" t="n">
        <f aca="false">ROUND((J47-I47)*24,2)</f>
        <v>0.83</v>
      </c>
      <c r="L47" s="3" t="s">
        <v>20</v>
      </c>
      <c r="M47" s="2"/>
      <c r="N47" s="2" t="s">
        <v>21</v>
      </c>
      <c r="O47" s="2" t="s">
        <v>22</v>
      </c>
    </row>
    <row r="48" customFormat="false" ht="23.85" hidden="false" customHeight="false" outlineLevel="0" collapsed="false">
      <c r="A48" s="2" t="n">
        <v>37</v>
      </c>
      <c r="B48" s="2" t="s">
        <v>28</v>
      </c>
      <c r="C48" s="3" t="s">
        <v>129</v>
      </c>
      <c r="D48" s="2" t="s">
        <v>17</v>
      </c>
      <c r="E48" s="2" t="s">
        <v>18</v>
      </c>
      <c r="F48" s="3" t="s">
        <v>19</v>
      </c>
      <c r="G48" s="4" t="n">
        <v>46335</v>
      </c>
      <c r="H48" s="2" t="str">
        <f aca="false">TEXT(G48,"ddd")</f>
        <v>Mon</v>
      </c>
      <c r="I48" s="5" t="n">
        <v>0.506944444444444</v>
      </c>
      <c r="J48" s="5" t="n">
        <v>0.541666666666667</v>
      </c>
      <c r="K48" s="6" t="n">
        <f aca="false">ROUND((J48-I48)*24,2)</f>
        <v>0.83</v>
      </c>
      <c r="L48" s="3" t="s">
        <v>20</v>
      </c>
      <c r="M48" s="2"/>
      <c r="N48" s="2" t="s">
        <v>21</v>
      </c>
      <c r="O48" s="2" t="s">
        <v>22</v>
      </c>
    </row>
    <row r="49" customFormat="false" ht="23.85" hidden="false" customHeight="false" outlineLevel="0" collapsed="false">
      <c r="A49" s="2" t="n">
        <v>37</v>
      </c>
      <c r="B49" s="2" t="s">
        <v>29</v>
      </c>
      <c r="C49" s="3" t="s">
        <v>129</v>
      </c>
      <c r="D49" s="2" t="s">
        <v>17</v>
      </c>
      <c r="E49" s="2" t="s">
        <v>18</v>
      </c>
      <c r="F49" s="3" t="s">
        <v>19</v>
      </c>
      <c r="G49" s="4" t="n">
        <v>46344</v>
      </c>
      <c r="H49" s="2" t="str">
        <f aca="false">TEXT(G49,"ddd")</f>
        <v>Wed</v>
      </c>
      <c r="I49" s="5" t="n">
        <v>0.506944444444444</v>
      </c>
      <c r="J49" s="5" t="n">
        <v>0.541666666666667</v>
      </c>
      <c r="K49" s="6" t="n">
        <f aca="false">ROUND((J49-I49)*24,2)</f>
        <v>0.83</v>
      </c>
      <c r="L49" s="3" t="s">
        <v>20</v>
      </c>
      <c r="M49" s="2"/>
      <c r="N49" s="2" t="s">
        <v>21</v>
      </c>
      <c r="O49" s="2" t="s">
        <v>22</v>
      </c>
    </row>
    <row r="50" customFormat="false" ht="23.85" hidden="false" customHeight="false" outlineLevel="0" collapsed="false">
      <c r="A50" s="2" t="n">
        <v>37</v>
      </c>
      <c r="B50" s="2" t="s">
        <v>30</v>
      </c>
      <c r="C50" s="3" t="s">
        <v>129</v>
      </c>
      <c r="D50" s="2" t="s">
        <v>17</v>
      </c>
      <c r="E50" s="2" t="s">
        <v>18</v>
      </c>
      <c r="F50" s="3" t="s">
        <v>19</v>
      </c>
      <c r="G50" s="4" t="n">
        <v>46352</v>
      </c>
      <c r="H50" s="2" t="str">
        <f aca="false">TEXT(G50,"ddd")</f>
        <v>Thu</v>
      </c>
      <c r="I50" s="5" t="n">
        <v>0.506944444444444</v>
      </c>
      <c r="J50" s="5" t="n">
        <v>0.541666666666667</v>
      </c>
      <c r="K50" s="6" t="n">
        <f aca="false">ROUND((J50-I50)*24,2)</f>
        <v>0.83</v>
      </c>
      <c r="L50" s="3" t="s">
        <v>20</v>
      </c>
      <c r="M50" s="2"/>
      <c r="N50" s="2" t="s">
        <v>21</v>
      </c>
      <c r="O50" s="2" t="s">
        <v>22</v>
      </c>
    </row>
    <row r="51" customFormat="false" ht="23.85" hidden="false" customHeight="false" outlineLevel="0" collapsed="false">
      <c r="A51" s="2" t="n">
        <v>37</v>
      </c>
      <c r="B51" s="2" t="s">
        <v>31</v>
      </c>
      <c r="C51" s="3" t="s">
        <v>129</v>
      </c>
      <c r="D51" s="2" t="s">
        <v>17</v>
      </c>
      <c r="E51" s="2" t="s">
        <v>18</v>
      </c>
      <c r="F51" s="3" t="s">
        <v>19</v>
      </c>
      <c r="G51" s="4" t="n">
        <v>46358</v>
      </c>
      <c r="H51" s="2" t="str">
        <f aca="false">TEXT(G51,"ddd")</f>
        <v>Wed</v>
      </c>
      <c r="I51" s="5" t="n">
        <v>0.506944444444444</v>
      </c>
      <c r="J51" s="5" t="n">
        <v>0.541666666666667</v>
      </c>
      <c r="K51" s="6" t="n">
        <f aca="false">ROUND((J51-I51)*24,2)</f>
        <v>0.83</v>
      </c>
      <c r="L51" s="3" t="s">
        <v>20</v>
      </c>
      <c r="M51" s="2"/>
      <c r="N51" s="2" t="s">
        <v>21</v>
      </c>
      <c r="O51" s="2" t="s">
        <v>22</v>
      </c>
    </row>
    <row r="52" customFormat="false" ht="23.85" hidden="false" customHeight="false" outlineLevel="0" collapsed="false">
      <c r="A52" s="2" t="n">
        <v>38</v>
      </c>
      <c r="B52" s="2" t="s">
        <v>32</v>
      </c>
      <c r="C52" s="3" t="s">
        <v>130</v>
      </c>
      <c r="D52" s="2" t="s">
        <v>49</v>
      </c>
      <c r="E52" s="2" t="s">
        <v>50</v>
      </c>
      <c r="F52" s="3"/>
      <c r="G52" s="4" t="n">
        <v>46315</v>
      </c>
      <c r="H52" s="2" t="str">
        <f aca="false">TEXT(G52,"ddd")</f>
        <v>Tue</v>
      </c>
      <c r="I52" s="5" t="n">
        <v>0.541666666666667</v>
      </c>
      <c r="J52" s="5" t="n">
        <v>0.583333333333333</v>
      </c>
      <c r="K52" s="6" t="n">
        <f aca="false">ROUND((J52-I52)*24,2)</f>
        <v>1</v>
      </c>
      <c r="L52" s="3" t="s">
        <v>131</v>
      </c>
      <c r="M52" s="2"/>
      <c r="N52" s="2" t="s">
        <v>21</v>
      </c>
      <c r="O52" s="2" t="s">
        <v>22</v>
      </c>
    </row>
    <row r="53" customFormat="false" ht="35.05" hidden="false" customHeight="false" outlineLevel="0" collapsed="false">
      <c r="A53" s="2" t="n">
        <v>39</v>
      </c>
      <c r="B53" s="2" t="s">
        <v>32</v>
      </c>
      <c r="C53" s="3" t="s">
        <v>132</v>
      </c>
      <c r="D53" s="2" t="s">
        <v>39</v>
      </c>
      <c r="E53" s="2" t="s">
        <v>75</v>
      </c>
      <c r="F53" s="3" t="s">
        <v>75</v>
      </c>
      <c r="G53" s="4" t="n">
        <v>46315</v>
      </c>
      <c r="H53" s="2" t="str">
        <f aca="false">TEXT(G53,"ddd")</f>
        <v>Tue</v>
      </c>
      <c r="I53" s="5" t="n">
        <v>0.583333333333333</v>
      </c>
      <c r="J53" s="5" t="n">
        <v>0.708333333333333</v>
      </c>
      <c r="K53" s="6" t="n">
        <f aca="false">ROUND((J53-I53)*24,2)</f>
        <v>3</v>
      </c>
      <c r="L53" s="3" t="s">
        <v>133</v>
      </c>
      <c r="M53" s="2"/>
      <c r="N53" s="2" t="s">
        <v>21</v>
      </c>
      <c r="O53" s="2" t="s">
        <v>22</v>
      </c>
    </row>
    <row r="54" customFormat="false" ht="35.05" hidden="false" customHeight="false" outlineLevel="0" collapsed="false">
      <c r="A54" s="2" t="n">
        <v>40</v>
      </c>
      <c r="B54" s="2" t="s">
        <v>32</v>
      </c>
      <c r="C54" s="3" t="s">
        <v>134</v>
      </c>
      <c r="D54" s="2" t="s">
        <v>39</v>
      </c>
      <c r="E54" s="2" t="s">
        <v>18</v>
      </c>
      <c r="F54" s="3" t="s">
        <v>19</v>
      </c>
      <c r="G54" s="4" t="n">
        <v>46315</v>
      </c>
      <c r="H54" s="2" t="str">
        <f aca="false">TEXT(G54,"ddd")</f>
        <v>Tue</v>
      </c>
      <c r="I54" s="5" t="n">
        <v>0.708333333333333</v>
      </c>
      <c r="J54" s="5" t="n">
        <v>0.791666666666667</v>
      </c>
      <c r="K54" s="6" t="n">
        <f aca="false">ROUND((J54-I54)*24,2)</f>
        <v>2</v>
      </c>
      <c r="L54" s="3" t="s">
        <v>135</v>
      </c>
      <c r="M54" s="2"/>
      <c r="N54" s="2" t="s">
        <v>21</v>
      </c>
      <c r="O54" s="2" t="s">
        <v>22</v>
      </c>
    </row>
    <row r="55" customFormat="false" ht="23.85" hidden="false" customHeight="false" outlineLevel="0" collapsed="false">
      <c r="A55" s="2" t="n">
        <v>41</v>
      </c>
      <c r="B55" s="2" t="s">
        <v>32</v>
      </c>
      <c r="C55" s="3" t="s">
        <v>136</v>
      </c>
      <c r="D55" s="2" t="s">
        <v>64</v>
      </c>
      <c r="E55" s="2" t="s">
        <v>18</v>
      </c>
      <c r="F55" s="3" t="s">
        <v>19</v>
      </c>
      <c r="G55" s="4" t="n">
        <v>46315</v>
      </c>
      <c r="H55" s="2" t="str">
        <f aca="false">TEXT(G55,"ddd")</f>
        <v>Tue</v>
      </c>
      <c r="I55" s="5" t="n">
        <v>0.708333333333333</v>
      </c>
      <c r="J55" s="5" t="n">
        <v>0.770833333333333</v>
      </c>
      <c r="K55" s="6" t="n">
        <f aca="false">ROUND((J55-I55)*24,2)</f>
        <v>1.5</v>
      </c>
      <c r="L55" s="3" t="s">
        <v>137</v>
      </c>
      <c r="M55" s="2" t="s">
        <v>138</v>
      </c>
      <c r="N55" s="2" t="s">
        <v>21</v>
      </c>
      <c r="O55" s="2" t="s">
        <v>22</v>
      </c>
    </row>
    <row r="56" customFormat="false" ht="35.05" hidden="false" customHeight="false" outlineLevel="0" collapsed="false">
      <c r="A56" s="2" t="n">
        <v>42</v>
      </c>
      <c r="B56" s="2" t="s">
        <v>32</v>
      </c>
      <c r="C56" s="3" t="s">
        <v>139</v>
      </c>
      <c r="D56" s="2" t="s">
        <v>39</v>
      </c>
      <c r="E56" s="2" t="s">
        <v>35</v>
      </c>
      <c r="F56" s="3" t="s">
        <v>140</v>
      </c>
      <c r="G56" s="4" t="n">
        <v>46315</v>
      </c>
      <c r="H56" s="2" t="str">
        <f aca="false">TEXT(G56,"ddd")</f>
        <v>Tue</v>
      </c>
      <c r="I56" s="5" t="n">
        <v>0.770833333333333</v>
      </c>
      <c r="J56" s="5" t="n">
        <v>0.833333333333333</v>
      </c>
      <c r="K56" s="6" t="n">
        <f aca="false">ROUND((J56-I56)*24,2)</f>
        <v>1.5</v>
      </c>
      <c r="L56" s="3" t="s">
        <v>141</v>
      </c>
      <c r="M56" s="2"/>
      <c r="N56" s="2" t="s">
        <v>21</v>
      </c>
      <c r="O56" s="2" t="s">
        <v>22</v>
      </c>
    </row>
    <row r="57" customFormat="false" ht="35.05" hidden="false" customHeight="false" outlineLevel="0" collapsed="false">
      <c r="A57" s="2" t="n">
        <v>43</v>
      </c>
      <c r="B57" s="2" t="s">
        <v>32</v>
      </c>
      <c r="C57" s="3" t="s">
        <v>142</v>
      </c>
      <c r="D57" s="2" t="s">
        <v>39</v>
      </c>
      <c r="E57" s="2" t="s">
        <v>35</v>
      </c>
      <c r="F57" s="3" t="s">
        <v>143</v>
      </c>
      <c r="G57" s="4" t="n">
        <v>46315</v>
      </c>
      <c r="H57" s="2" t="str">
        <f aca="false">TEXT(G57,"ddd")</f>
        <v>Tue</v>
      </c>
      <c r="I57" s="5" t="n">
        <v>0.770833333333333</v>
      </c>
      <c r="J57" s="5" t="n">
        <v>0.854166666666667</v>
      </c>
      <c r="K57" s="6" t="n">
        <f aca="false">ROUND((J57-I57)*24,2)</f>
        <v>2</v>
      </c>
      <c r="L57" s="3" t="s">
        <v>144</v>
      </c>
      <c r="M57" s="2"/>
      <c r="N57" s="2" t="s">
        <v>21</v>
      </c>
      <c r="O57" s="2" t="s">
        <v>22</v>
      </c>
    </row>
    <row r="58" customFormat="false" ht="23.85" hidden="false" customHeight="false" outlineLevel="0" collapsed="false">
      <c r="A58" s="2" t="n">
        <v>44</v>
      </c>
      <c r="B58" s="2" t="s">
        <v>32</v>
      </c>
      <c r="C58" s="3" t="s">
        <v>145</v>
      </c>
      <c r="D58" s="2" t="s">
        <v>39</v>
      </c>
      <c r="E58" s="2" t="s">
        <v>75</v>
      </c>
      <c r="F58" s="3" t="s">
        <v>75</v>
      </c>
      <c r="G58" s="4" t="n">
        <v>46315</v>
      </c>
      <c r="H58" s="2" t="str">
        <f aca="false">TEXT(G58,"ddd")</f>
        <v>Tue</v>
      </c>
      <c r="I58" s="5" t="n">
        <v>0.802083333333333</v>
      </c>
      <c r="J58" s="5" t="n">
        <v>0.854166666666667</v>
      </c>
      <c r="K58" s="6" t="n">
        <f aca="false">ROUND((J58-I58)*24,2)</f>
        <v>1.25</v>
      </c>
      <c r="L58" s="3" t="s">
        <v>146</v>
      </c>
      <c r="M58" s="2"/>
      <c r="N58" s="2" t="s">
        <v>21</v>
      </c>
      <c r="O58" s="2" t="s">
        <v>22</v>
      </c>
    </row>
    <row r="59" customFormat="false" ht="23.85" hidden="false" customHeight="false" outlineLevel="0" collapsed="false">
      <c r="A59" s="2" t="n">
        <v>45</v>
      </c>
      <c r="B59" s="2" t="s">
        <v>32</v>
      </c>
      <c r="C59" s="3" t="s">
        <v>147</v>
      </c>
      <c r="D59" s="2" t="s">
        <v>39</v>
      </c>
      <c r="E59" s="2" t="s">
        <v>18</v>
      </c>
      <c r="F59" s="3" t="s">
        <v>19</v>
      </c>
      <c r="G59" s="4" t="n">
        <v>46316</v>
      </c>
      <c r="H59" s="2" t="str">
        <f aca="false">TEXT(G59,"ddd")</f>
        <v>Wed</v>
      </c>
      <c r="I59" s="5" t="n">
        <v>0.375</v>
      </c>
      <c r="J59" s="5" t="n">
        <v>0.4375</v>
      </c>
      <c r="K59" s="6" t="n">
        <f aca="false">ROUND((J59-I59)*24,2)</f>
        <v>1.5</v>
      </c>
      <c r="L59" s="3" t="s">
        <v>148</v>
      </c>
      <c r="M59" s="2"/>
      <c r="N59" s="2" t="s">
        <v>21</v>
      </c>
      <c r="O59" s="2" t="s">
        <v>22</v>
      </c>
    </row>
    <row r="60" customFormat="false" ht="35.05" hidden="false" customHeight="false" outlineLevel="0" collapsed="false">
      <c r="A60" s="2" t="n">
        <v>46</v>
      </c>
      <c r="B60" s="2" t="s">
        <v>32</v>
      </c>
      <c r="C60" s="3" t="s">
        <v>149</v>
      </c>
      <c r="D60" s="2" t="s">
        <v>39</v>
      </c>
      <c r="E60" s="2" t="s">
        <v>18</v>
      </c>
      <c r="F60" s="3" t="s">
        <v>19</v>
      </c>
      <c r="G60" s="4" t="n">
        <v>46316</v>
      </c>
      <c r="H60" s="2" t="str">
        <f aca="false">TEXT(G60,"ddd")</f>
        <v>Wed</v>
      </c>
      <c r="I60" s="5" t="n">
        <v>0.5</v>
      </c>
      <c r="J60" s="5" t="n">
        <v>0.541666666666667</v>
      </c>
      <c r="K60" s="6" t="n">
        <f aca="false">ROUND((J60-I60)*24,2)</f>
        <v>1</v>
      </c>
      <c r="L60" s="3" t="s">
        <v>150</v>
      </c>
      <c r="M60" s="2" t="s">
        <v>151</v>
      </c>
      <c r="N60" s="2" t="s">
        <v>21</v>
      </c>
      <c r="O60" s="2" t="s">
        <v>22</v>
      </c>
    </row>
    <row r="61" customFormat="false" ht="44" hidden="false" customHeight="false" outlineLevel="0" collapsed="false">
      <c r="A61" s="2" t="n">
        <v>47</v>
      </c>
      <c r="B61" s="2" t="s">
        <v>32</v>
      </c>
      <c r="C61" s="3" t="s">
        <v>152</v>
      </c>
      <c r="D61" s="2" t="s">
        <v>39</v>
      </c>
      <c r="E61" s="2" t="s">
        <v>50</v>
      </c>
      <c r="F61" s="3"/>
      <c r="G61" s="4" t="n">
        <v>46316</v>
      </c>
      <c r="H61" s="2" t="str">
        <f aca="false">TEXT(G61,"ddd")</f>
        <v>Wed</v>
      </c>
      <c r="I61" s="5" t="n">
        <v>0.5</v>
      </c>
      <c r="J61" s="5" t="n">
        <v>0.541666666666667</v>
      </c>
      <c r="K61" s="6" t="n">
        <f aca="false">ROUND((J61-I61)*24,2)</f>
        <v>1</v>
      </c>
      <c r="L61" s="3" t="s">
        <v>153</v>
      </c>
      <c r="M61" s="2"/>
      <c r="N61" s="2" t="s">
        <v>21</v>
      </c>
      <c r="O61" s="2" t="s">
        <v>22</v>
      </c>
    </row>
    <row r="62" customFormat="false" ht="26.85" hidden="false" customHeight="false" outlineLevel="0" collapsed="false">
      <c r="A62" s="2" t="n">
        <v>48</v>
      </c>
      <c r="B62" s="2" t="s">
        <v>32</v>
      </c>
      <c r="C62" s="3" t="s">
        <v>154</v>
      </c>
      <c r="D62" s="2" t="s">
        <v>39</v>
      </c>
      <c r="E62" s="2" t="s">
        <v>18</v>
      </c>
      <c r="F62" s="3" t="s">
        <v>19</v>
      </c>
      <c r="G62" s="4" t="n">
        <v>46316</v>
      </c>
      <c r="H62" s="2" t="str">
        <f aca="false">TEXT(G62,"ddd")</f>
        <v>Wed</v>
      </c>
      <c r="I62" s="5" t="n">
        <v>0.53125</v>
      </c>
      <c r="J62" s="5" t="n">
        <v>0.583333333333333</v>
      </c>
      <c r="K62" s="6" t="n">
        <f aca="false">ROUND((J62-I62)*24,2)</f>
        <v>1.25</v>
      </c>
      <c r="L62" s="3" t="s">
        <v>155</v>
      </c>
      <c r="M62" s="2"/>
      <c r="N62" s="2" t="s">
        <v>21</v>
      </c>
      <c r="O62" s="2" t="s">
        <v>22</v>
      </c>
    </row>
    <row r="63" customFormat="false" ht="23.85" hidden="false" customHeight="false" outlineLevel="0" collapsed="false">
      <c r="A63" s="2" t="n">
        <v>49</v>
      </c>
      <c r="B63" s="2" t="s">
        <v>32</v>
      </c>
      <c r="C63" s="3" t="s">
        <v>156</v>
      </c>
      <c r="D63" s="2" t="s">
        <v>39</v>
      </c>
      <c r="E63" s="2" t="s">
        <v>35</v>
      </c>
      <c r="F63" s="3" t="s">
        <v>59</v>
      </c>
      <c r="G63" s="4" t="n">
        <v>46316</v>
      </c>
      <c r="H63" s="2" t="str">
        <f aca="false">TEXT(G63,"ddd")</f>
        <v>Wed</v>
      </c>
      <c r="I63" s="5" t="n">
        <v>0.53125</v>
      </c>
      <c r="J63" s="5" t="n">
        <v>0.59375</v>
      </c>
      <c r="K63" s="6" t="n">
        <f aca="false">ROUND((J63-I63)*24,2)</f>
        <v>1.5</v>
      </c>
      <c r="L63" s="3" t="s">
        <v>157</v>
      </c>
      <c r="M63" s="2"/>
      <c r="N63" s="2" t="s">
        <v>21</v>
      </c>
      <c r="O63" s="2" t="s">
        <v>22</v>
      </c>
    </row>
    <row r="64" customFormat="false" ht="23.85" hidden="false" customHeight="false" outlineLevel="0" collapsed="false">
      <c r="A64" s="2" t="n">
        <v>50</v>
      </c>
      <c r="B64" s="2" t="s">
        <v>32</v>
      </c>
      <c r="C64" s="3" t="s">
        <v>158</v>
      </c>
      <c r="D64" s="2" t="s">
        <v>42</v>
      </c>
      <c r="E64" s="2" t="s">
        <v>35</v>
      </c>
      <c r="F64" s="3" t="s">
        <v>159</v>
      </c>
      <c r="G64" s="4" t="n">
        <v>46316</v>
      </c>
      <c r="H64" s="2" t="str">
        <f aca="false">TEXT(G64,"ddd")</f>
        <v>Wed</v>
      </c>
      <c r="I64" s="5" t="n">
        <v>0.541666666666667</v>
      </c>
      <c r="J64" s="5" t="n">
        <v>0.583333333333333</v>
      </c>
      <c r="K64" s="6" t="n">
        <f aca="false">ROUND((J64-I64)*24,2)</f>
        <v>1</v>
      </c>
      <c r="L64" s="3" t="s">
        <v>160</v>
      </c>
      <c r="M64" s="2"/>
      <c r="N64" s="2" t="s">
        <v>21</v>
      </c>
      <c r="O64" s="2" t="s">
        <v>22</v>
      </c>
    </row>
    <row r="65" customFormat="false" ht="35.05" hidden="false" customHeight="false" outlineLevel="0" collapsed="false">
      <c r="A65" s="2" t="n">
        <v>51</v>
      </c>
      <c r="B65" s="2" t="s">
        <v>32</v>
      </c>
      <c r="C65" s="3" t="s">
        <v>161</v>
      </c>
      <c r="D65" s="2" t="s">
        <v>45</v>
      </c>
      <c r="E65" s="2" t="s">
        <v>35</v>
      </c>
      <c r="F65" s="3" t="s">
        <v>46</v>
      </c>
      <c r="G65" s="4" t="n">
        <v>46316</v>
      </c>
      <c r="H65" s="2" t="str">
        <f aca="false">TEXT(G65,"ddd")</f>
        <v>Wed</v>
      </c>
      <c r="I65" s="5" t="n">
        <v>0.541666666666667</v>
      </c>
      <c r="J65" s="5" t="n">
        <v>0.576388888888889</v>
      </c>
      <c r="K65" s="6" t="n">
        <f aca="false">ROUND((J65-I65)*24,2)</f>
        <v>0.83</v>
      </c>
      <c r="L65" s="3" t="s">
        <v>162</v>
      </c>
      <c r="M65" s="2"/>
      <c r="N65" s="2" t="s">
        <v>21</v>
      </c>
      <c r="O65" s="2" t="s">
        <v>22</v>
      </c>
    </row>
    <row r="66" customFormat="false" ht="35.05" hidden="false" customHeight="false" outlineLevel="0" collapsed="false">
      <c r="A66" s="2" t="n">
        <v>52</v>
      </c>
      <c r="B66" s="2" t="s">
        <v>32</v>
      </c>
      <c r="C66" s="3" t="s">
        <v>163</v>
      </c>
      <c r="D66" s="2" t="s">
        <v>39</v>
      </c>
      <c r="E66" s="2" t="s">
        <v>35</v>
      </c>
      <c r="F66" s="3" t="s">
        <v>164</v>
      </c>
      <c r="G66" s="4" t="n">
        <v>46316</v>
      </c>
      <c r="H66" s="2" t="str">
        <f aca="false">TEXT(G66,"ddd")</f>
        <v>Wed</v>
      </c>
      <c r="I66" s="5" t="n">
        <v>0.541666666666667</v>
      </c>
      <c r="J66" s="5" t="n">
        <v>0.625</v>
      </c>
      <c r="K66" s="6" t="n">
        <f aca="false">ROUND((J66-I66)*24,2)</f>
        <v>2</v>
      </c>
      <c r="L66" s="3" t="s">
        <v>165</v>
      </c>
      <c r="M66" s="2"/>
      <c r="N66" s="2" t="s">
        <v>21</v>
      </c>
      <c r="O66" s="2" t="s">
        <v>22</v>
      </c>
    </row>
    <row r="67" customFormat="false" ht="23.85" hidden="false" customHeight="false" outlineLevel="0" collapsed="false">
      <c r="A67" s="2" t="n">
        <v>53</v>
      </c>
      <c r="B67" s="2" t="s">
        <v>32</v>
      </c>
      <c r="C67" s="3" t="s">
        <v>166</v>
      </c>
      <c r="D67" s="2" t="s">
        <v>39</v>
      </c>
      <c r="E67" s="2" t="s">
        <v>35</v>
      </c>
      <c r="F67" s="3" t="s">
        <v>167</v>
      </c>
      <c r="G67" s="4" t="n">
        <v>46316</v>
      </c>
      <c r="H67" s="2" t="str">
        <f aca="false">TEXT(G67,"ddd")</f>
        <v>Wed</v>
      </c>
      <c r="I67" s="5" t="n">
        <v>0.583333333333333</v>
      </c>
      <c r="J67" s="5" t="n">
        <v>0.666666666666667</v>
      </c>
      <c r="K67" s="6" t="n">
        <f aca="false">ROUND((J67-I67)*24,2)</f>
        <v>2</v>
      </c>
      <c r="L67" s="3" t="s">
        <v>168</v>
      </c>
      <c r="M67" s="2"/>
      <c r="N67" s="2" t="s">
        <v>21</v>
      </c>
      <c r="O67" s="2" t="s">
        <v>22</v>
      </c>
    </row>
    <row r="68" customFormat="false" ht="15" hidden="false" customHeight="false" outlineLevel="0" collapsed="false">
      <c r="A68" s="2" t="n">
        <v>54</v>
      </c>
      <c r="B68" s="2" t="s">
        <v>32</v>
      </c>
      <c r="C68" s="3" t="s">
        <v>169</v>
      </c>
      <c r="D68" s="2" t="s">
        <v>39</v>
      </c>
      <c r="E68" s="2" t="s">
        <v>18</v>
      </c>
      <c r="F68" s="3" t="s">
        <v>19</v>
      </c>
      <c r="G68" s="4" t="n">
        <v>46316</v>
      </c>
      <c r="H68" s="2" t="str">
        <f aca="false">TEXT(G68,"ddd")</f>
        <v>Wed</v>
      </c>
      <c r="I68" s="5" t="n">
        <v>0.604166666666667</v>
      </c>
      <c r="J68" s="5" t="n">
        <v>0.666666666666667</v>
      </c>
      <c r="K68" s="6" t="n">
        <f aca="false">ROUND((J68-I68)*24,2)</f>
        <v>1.5</v>
      </c>
      <c r="L68" s="3" t="s">
        <v>170</v>
      </c>
      <c r="M68" s="2"/>
      <c r="N68" s="2" t="s">
        <v>21</v>
      </c>
      <c r="O68" s="2" t="s">
        <v>22</v>
      </c>
    </row>
    <row r="69" customFormat="false" ht="35.05" hidden="false" customHeight="false" outlineLevel="0" collapsed="false">
      <c r="A69" s="2" t="n">
        <v>55</v>
      </c>
      <c r="B69" s="2" t="s">
        <v>32</v>
      </c>
      <c r="C69" s="3" t="s">
        <v>171</v>
      </c>
      <c r="D69" s="2" t="s">
        <v>80</v>
      </c>
      <c r="E69" s="2" t="s">
        <v>35</v>
      </c>
      <c r="F69" s="3" t="s">
        <v>92</v>
      </c>
      <c r="G69" s="4" t="n">
        <v>46316</v>
      </c>
      <c r="H69" s="2" t="str">
        <f aca="false">TEXT(G69,"ddd")</f>
        <v>Wed</v>
      </c>
      <c r="I69" s="5" t="n">
        <v>0.604166666666667</v>
      </c>
      <c r="J69" s="5" t="n">
        <v>0.708333333333333</v>
      </c>
      <c r="K69" s="6" t="n">
        <f aca="false">ROUND((J69-I69)*24,2)</f>
        <v>2.5</v>
      </c>
      <c r="L69" s="3" t="s">
        <v>172</v>
      </c>
      <c r="M69" s="2"/>
      <c r="N69" s="2" t="s">
        <v>21</v>
      </c>
      <c r="O69" s="2" t="s">
        <v>22</v>
      </c>
    </row>
    <row r="70" customFormat="false" ht="23.85" hidden="false" customHeight="false" outlineLevel="0" collapsed="false">
      <c r="A70" s="2" t="n">
        <v>56</v>
      </c>
      <c r="B70" s="2" t="s">
        <v>32</v>
      </c>
      <c r="C70" s="3" t="s">
        <v>173</v>
      </c>
      <c r="D70" s="2" t="s">
        <v>39</v>
      </c>
      <c r="E70" s="2" t="s">
        <v>35</v>
      </c>
      <c r="F70" s="3" t="s">
        <v>85</v>
      </c>
      <c r="G70" s="4" t="n">
        <v>46316</v>
      </c>
      <c r="H70" s="2" t="str">
        <f aca="false">TEXT(G70,"ddd")</f>
        <v>Wed</v>
      </c>
      <c r="I70" s="5" t="n">
        <v>0.604166666666667</v>
      </c>
      <c r="J70" s="5" t="n">
        <v>0.65625</v>
      </c>
      <c r="K70" s="6" t="n">
        <f aca="false">ROUND((J70-I70)*24,2)</f>
        <v>1.25</v>
      </c>
      <c r="L70" s="3" t="s">
        <v>174</v>
      </c>
      <c r="M70" s="2"/>
      <c r="N70" s="2" t="s">
        <v>21</v>
      </c>
      <c r="O70" s="2" t="s">
        <v>22</v>
      </c>
    </row>
    <row r="71" customFormat="false" ht="23.85" hidden="false" customHeight="false" outlineLevel="0" collapsed="false">
      <c r="A71" s="2" t="n">
        <v>57</v>
      </c>
      <c r="B71" s="2" t="s">
        <v>32</v>
      </c>
      <c r="C71" s="3" t="s">
        <v>175</v>
      </c>
      <c r="D71" s="2" t="s">
        <v>88</v>
      </c>
      <c r="E71" s="2" t="s">
        <v>35</v>
      </c>
      <c r="F71" s="3" t="s">
        <v>176</v>
      </c>
      <c r="G71" s="4" t="n">
        <v>46316</v>
      </c>
      <c r="H71" s="2" t="str">
        <f aca="false">TEXT(G71,"ddd")</f>
        <v>Wed</v>
      </c>
      <c r="I71" s="5" t="n">
        <v>0.666666666666667</v>
      </c>
      <c r="J71" s="5" t="n">
        <v>0.791666666666667</v>
      </c>
      <c r="K71" s="6" t="n">
        <f aca="false">ROUND((J71-I71)*24,2)</f>
        <v>3</v>
      </c>
      <c r="L71" s="3" t="s">
        <v>177</v>
      </c>
      <c r="M71" s="2"/>
      <c r="N71" s="2" t="s">
        <v>21</v>
      </c>
      <c r="O71" s="2" t="s">
        <v>22</v>
      </c>
    </row>
    <row r="72" customFormat="false" ht="23.85" hidden="false" customHeight="false" outlineLevel="0" collapsed="false">
      <c r="A72" s="2" t="n">
        <v>58</v>
      </c>
      <c r="B72" s="2" t="s">
        <v>32</v>
      </c>
      <c r="C72" s="3" t="s">
        <v>178</v>
      </c>
      <c r="D72" s="2" t="s">
        <v>99</v>
      </c>
      <c r="E72" s="2" t="s">
        <v>35</v>
      </c>
      <c r="F72" s="3" t="s">
        <v>119</v>
      </c>
      <c r="G72" s="4" t="n">
        <v>46317</v>
      </c>
      <c r="H72" s="2" t="str">
        <f aca="false">TEXT(G72,"ddd")</f>
        <v>Thu</v>
      </c>
      <c r="I72" s="5" t="n">
        <v>0.458333333333333</v>
      </c>
      <c r="J72" s="5" t="n">
        <v>0.583333333333333</v>
      </c>
      <c r="K72" s="6" t="n">
        <f aca="false">ROUND((J72-I72)*24,2)</f>
        <v>3</v>
      </c>
      <c r="L72" s="3" t="s">
        <v>179</v>
      </c>
      <c r="M72" s="2"/>
      <c r="N72" s="2" t="s">
        <v>21</v>
      </c>
      <c r="O72" s="2" t="s">
        <v>22</v>
      </c>
    </row>
    <row r="73" customFormat="false" ht="35.05" hidden="false" customHeight="false" outlineLevel="0" collapsed="false">
      <c r="A73" s="2" t="n">
        <v>59</v>
      </c>
      <c r="B73" s="2" t="s">
        <v>32</v>
      </c>
      <c r="C73" s="3" t="s">
        <v>180</v>
      </c>
      <c r="D73" s="2" t="s">
        <v>99</v>
      </c>
      <c r="E73" s="2" t="s">
        <v>35</v>
      </c>
      <c r="F73" s="3" t="s">
        <v>46</v>
      </c>
      <c r="G73" s="4" t="n">
        <v>46317</v>
      </c>
      <c r="H73" s="2" t="str">
        <f aca="false">TEXT(G73,"ddd")</f>
        <v>Thu</v>
      </c>
      <c r="I73" s="5" t="n">
        <v>0.520833333333333</v>
      </c>
      <c r="J73" s="5" t="n">
        <v>0.583333333333333</v>
      </c>
      <c r="K73" s="6" t="n">
        <f aca="false">ROUND((J73-I73)*24,2)</f>
        <v>1.5</v>
      </c>
      <c r="L73" s="3" t="s">
        <v>181</v>
      </c>
      <c r="M73" s="2"/>
      <c r="N73" s="2" t="s">
        <v>21</v>
      </c>
      <c r="O73" s="2" t="s">
        <v>22</v>
      </c>
    </row>
    <row r="74" customFormat="false" ht="35.05" hidden="false" customHeight="false" outlineLevel="0" collapsed="false">
      <c r="A74" s="2" t="n">
        <v>60</v>
      </c>
      <c r="B74" s="2" t="s">
        <v>32</v>
      </c>
      <c r="C74" s="3" t="s">
        <v>182</v>
      </c>
      <c r="D74" s="2" t="s">
        <v>53</v>
      </c>
      <c r="E74" s="2" t="s">
        <v>50</v>
      </c>
      <c r="F74" s="3"/>
      <c r="G74" s="4" t="n">
        <v>46317</v>
      </c>
      <c r="H74" s="2" t="str">
        <f aca="false">TEXT(G74,"ddd")</f>
        <v>Thu</v>
      </c>
      <c r="I74" s="5" t="n">
        <v>0.541666666666667</v>
      </c>
      <c r="J74" s="5" t="n">
        <v>0.583333333333333</v>
      </c>
      <c r="K74" s="6" t="n">
        <f aca="false">ROUND((J74-I74)*24,2)</f>
        <v>1</v>
      </c>
      <c r="L74" s="3" t="s">
        <v>183</v>
      </c>
      <c r="M74" s="2"/>
      <c r="N74" s="2" t="s">
        <v>21</v>
      </c>
      <c r="O74" s="2" t="s">
        <v>22</v>
      </c>
    </row>
    <row r="75" customFormat="false" ht="23.85" hidden="false" customHeight="false" outlineLevel="0" collapsed="false">
      <c r="A75" s="2" t="n">
        <v>61</v>
      </c>
      <c r="B75" s="2" t="s">
        <v>32</v>
      </c>
      <c r="C75" s="3" t="s">
        <v>184</v>
      </c>
      <c r="D75" s="2" t="s">
        <v>49</v>
      </c>
      <c r="E75" s="2" t="s">
        <v>50</v>
      </c>
      <c r="F75" s="3"/>
      <c r="G75" s="4" t="n">
        <v>46317</v>
      </c>
      <c r="H75" s="2" t="str">
        <f aca="false">TEXT(G75,"ddd")</f>
        <v>Thu</v>
      </c>
      <c r="I75" s="5" t="n">
        <v>0.541666666666667</v>
      </c>
      <c r="J75" s="5" t="n">
        <v>0.583333333333333</v>
      </c>
      <c r="K75" s="6" t="n">
        <f aca="false">ROUND((J75-I75)*24,2)</f>
        <v>1</v>
      </c>
      <c r="L75" s="3" t="s">
        <v>185</v>
      </c>
      <c r="M75" s="2"/>
      <c r="N75" s="2" t="s">
        <v>21</v>
      </c>
      <c r="O75" s="2" t="s">
        <v>22</v>
      </c>
    </row>
    <row r="76" customFormat="false" ht="35.05" hidden="false" customHeight="false" outlineLevel="0" collapsed="false">
      <c r="A76" s="2" t="n">
        <v>62</v>
      </c>
      <c r="B76" s="2" t="s">
        <v>32</v>
      </c>
      <c r="C76" s="3" t="s">
        <v>186</v>
      </c>
      <c r="D76" s="2" t="s">
        <v>187</v>
      </c>
      <c r="E76" s="2" t="s">
        <v>18</v>
      </c>
      <c r="F76" s="3" t="s">
        <v>19</v>
      </c>
      <c r="G76" s="4" t="n">
        <v>46317</v>
      </c>
      <c r="H76" s="2" t="str">
        <f aca="false">TEXT(G76,"ddd")</f>
        <v>Thu</v>
      </c>
      <c r="I76" s="5" t="n">
        <v>0.541666666666667</v>
      </c>
      <c r="J76" s="5" t="n">
        <v>0.604166666666667</v>
      </c>
      <c r="K76" s="6" t="n">
        <f aca="false">ROUND((J76-I76)*24,2)</f>
        <v>1.5</v>
      </c>
      <c r="L76" s="3" t="s">
        <v>188</v>
      </c>
      <c r="M76" s="2"/>
      <c r="N76" s="2" t="s">
        <v>21</v>
      </c>
      <c r="O76" s="2" t="s">
        <v>22</v>
      </c>
    </row>
    <row r="77" customFormat="false" ht="15" hidden="false" customHeight="false" outlineLevel="0" collapsed="false">
      <c r="A77" s="2" t="n">
        <v>63</v>
      </c>
      <c r="B77" s="2" t="s">
        <v>32</v>
      </c>
      <c r="C77" s="3" t="s">
        <v>189</v>
      </c>
      <c r="D77" s="2" t="s">
        <v>190</v>
      </c>
      <c r="E77" s="2" t="s">
        <v>35</v>
      </c>
      <c r="F77" s="3" t="s">
        <v>191</v>
      </c>
      <c r="G77" s="4" t="n">
        <v>46317</v>
      </c>
      <c r="H77" s="2" t="str">
        <f aca="false">TEXT(G77,"ddd")</f>
        <v>Thu</v>
      </c>
      <c r="I77" s="5" t="n">
        <v>0.666666666666667</v>
      </c>
      <c r="J77" s="5" t="n">
        <v>0.75</v>
      </c>
      <c r="K77" s="6" t="n">
        <f aca="false">ROUND((J77-I77)*24,2)</f>
        <v>2</v>
      </c>
      <c r="L77" s="3" t="s">
        <v>192</v>
      </c>
      <c r="M77" s="2"/>
      <c r="N77" s="2" t="s">
        <v>21</v>
      </c>
      <c r="O77" s="2" t="s">
        <v>22</v>
      </c>
    </row>
    <row r="78" customFormat="false" ht="35.05" hidden="false" customHeight="false" outlineLevel="0" collapsed="false">
      <c r="A78" s="2" t="n">
        <v>64</v>
      </c>
      <c r="B78" s="2" t="s">
        <v>32</v>
      </c>
      <c r="C78" s="3" t="s">
        <v>193</v>
      </c>
      <c r="D78" s="2" t="s">
        <v>53</v>
      </c>
      <c r="E78" s="2" t="s">
        <v>18</v>
      </c>
      <c r="F78" s="3" t="s">
        <v>19</v>
      </c>
      <c r="G78" s="4" t="n">
        <v>46317</v>
      </c>
      <c r="H78" s="2" t="str">
        <f aca="false">TEXT(G78,"ddd")</f>
        <v>Thu</v>
      </c>
      <c r="I78" s="5" t="n">
        <v>0.708333333333333</v>
      </c>
      <c r="J78" s="5" t="n">
        <v>0.75</v>
      </c>
      <c r="K78" s="6" t="n">
        <f aca="false">ROUND((J78-I78)*24,2)</f>
        <v>1</v>
      </c>
      <c r="L78" s="3" t="s">
        <v>194</v>
      </c>
      <c r="M78" s="2"/>
      <c r="N78" s="2" t="s">
        <v>21</v>
      </c>
      <c r="O78" s="2" t="s">
        <v>22</v>
      </c>
    </row>
    <row r="79" customFormat="false" ht="23.85" hidden="false" customHeight="false" outlineLevel="0" collapsed="false">
      <c r="A79" s="2" t="n">
        <v>65</v>
      </c>
      <c r="B79" s="2" t="s">
        <v>32</v>
      </c>
      <c r="C79" s="3" t="s">
        <v>195</v>
      </c>
      <c r="D79" s="2" t="s">
        <v>39</v>
      </c>
      <c r="E79" s="2" t="s">
        <v>35</v>
      </c>
      <c r="F79" s="3" t="s">
        <v>196</v>
      </c>
      <c r="G79" s="4" t="n">
        <v>46318</v>
      </c>
      <c r="H79" s="2" t="str">
        <f aca="false">TEXT(G79,"ddd")</f>
        <v>Fri</v>
      </c>
      <c r="I79" s="5" t="n">
        <v>0.541666666666667</v>
      </c>
      <c r="J79" s="5" t="n">
        <v>0.625</v>
      </c>
      <c r="K79" s="6" t="n">
        <f aca="false">ROUND((J79-I79)*24,2)</f>
        <v>2</v>
      </c>
      <c r="L79" s="3" t="s">
        <v>197</v>
      </c>
      <c r="M79" s="2"/>
      <c r="N79" s="2" t="s">
        <v>21</v>
      </c>
      <c r="O79" s="2" t="s">
        <v>22</v>
      </c>
    </row>
    <row r="80" customFormat="false" ht="23.85" hidden="false" customHeight="false" outlineLevel="0" collapsed="false">
      <c r="A80" s="2" t="n">
        <v>66</v>
      </c>
      <c r="B80" s="2" t="s">
        <v>32</v>
      </c>
      <c r="C80" s="3" t="s">
        <v>198</v>
      </c>
      <c r="D80" s="2" t="s">
        <v>39</v>
      </c>
      <c r="E80" s="2" t="s">
        <v>35</v>
      </c>
      <c r="F80" s="3" t="s">
        <v>199</v>
      </c>
      <c r="G80" s="4" t="n">
        <v>46318</v>
      </c>
      <c r="H80" s="2" t="str">
        <f aca="false">TEXT(G80,"ddd")</f>
        <v>Fri</v>
      </c>
      <c r="I80" s="5" t="n">
        <v>0.708333333333333</v>
      </c>
      <c r="J80" s="5" t="n">
        <v>0.805555555555556</v>
      </c>
      <c r="K80" s="6" t="n">
        <f aca="false">ROUND((J80-I80)*24,2)</f>
        <v>2.33</v>
      </c>
      <c r="L80" s="3" t="s">
        <v>200</v>
      </c>
      <c r="M80" s="2"/>
      <c r="N80" s="2" t="s">
        <v>21</v>
      </c>
      <c r="O80" s="2" t="s">
        <v>22</v>
      </c>
    </row>
    <row r="81" customFormat="false" ht="23.85" hidden="false" customHeight="false" outlineLevel="0" collapsed="false">
      <c r="A81" s="2" t="n">
        <v>67</v>
      </c>
      <c r="B81" s="2" t="s">
        <v>32</v>
      </c>
      <c r="C81" s="3" t="s">
        <v>201</v>
      </c>
      <c r="D81" s="2" t="s">
        <v>202</v>
      </c>
      <c r="E81" s="2" t="s">
        <v>35</v>
      </c>
      <c r="F81" s="3" t="s">
        <v>46</v>
      </c>
      <c r="G81" s="4" t="n">
        <v>46321</v>
      </c>
      <c r="H81" s="2" t="str">
        <f aca="false">TEXT(G81,"ddd")</f>
        <v>Mon</v>
      </c>
      <c r="I81" s="5" t="n">
        <v>0.541666666666667</v>
      </c>
      <c r="J81" s="5" t="n">
        <v>0.604166666666667</v>
      </c>
      <c r="K81" s="6" t="n">
        <f aca="false">ROUND((J81-I81)*24,2)</f>
        <v>1.5</v>
      </c>
      <c r="L81" s="3" t="s">
        <v>203</v>
      </c>
      <c r="M81" s="2"/>
      <c r="N81" s="2" t="s">
        <v>21</v>
      </c>
      <c r="O81" s="2" t="s">
        <v>22</v>
      </c>
    </row>
    <row r="82" customFormat="false" ht="23.85" hidden="false" customHeight="false" outlineLevel="0" collapsed="false">
      <c r="A82" s="2" t="n">
        <v>68</v>
      </c>
      <c r="B82" s="2" t="s">
        <v>32</v>
      </c>
      <c r="C82" s="3" t="s">
        <v>204</v>
      </c>
      <c r="D82" s="2" t="s">
        <v>49</v>
      </c>
      <c r="E82" s="2" t="s">
        <v>50</v>
      </c>
      <c r="F82" s="3"/>
      <c r="G82" s="4" t="n">
        <v>46321</v>
      </c>
      <c r="H82" s="2" t="str">
        <f aca="false">TEXT(G82,"ddd")</f>
        <v>Mon</v>
      </c>
      <c r="I82" s="5" t="n">
        <v>0.541666666666667</v>
      </c>
      <c r="J82" s="5" t="n">
        <v>0.583333333333333</v>
      </c>
      <c r="K82" s="6" t="n">
        <f aca="false">ROUND((J82-I82)*24,2)</f>
        <v>1</v>
      </c>
      <c r="L82" s="3" t="s">
        <v>205</v>
      </c>
      <c r="M82" s="2"/>
      <c r="N82" s="2" t="s">
        <v>21</v>
      </c>
      <c r="O82" s="2" t="s">
        <v>22</v>
      </c>
    </row>
    <row r="83" customFormat="false" ht="23.85" hidden="false" customHeight="false" outlineLevel="0" collapsed="false">
      <c r="A83" s="2" t="n">
        <v>69</v>
      </c>
      <c r="B83" s="2" t="s">
        <v>32</v>
      </c>
      <c r="C83" s="3" t="s">
        <v>206</v>
      </c>
      <c r="D83" s="2" t="s">
        <v>53</v>
      </c>
      <c r="E83" s="2" t="s">
        <v>50</v>
      </c>
      <c r="F83" s="3"/>
      <c r="G83" s="4" t="n">
        <v>46321</v>
      </c>
      <c r="H83" s="2" t="str">
        <f aca="false">TEXT(G83,"ddd")</f>
        <v>Mon</v>
      </c>
      <c r="I83" s="5" t="n">
        <v>0.541666666666667</v>
      </c>
      <c r="J83" s="5" t="n">
        <v>0.583333333333333</v>
      </c>
      <c r="K83" s="6" t="n">
        <f aca="false">ROUND((J83-I83)*24,2)</f>
        <v>1</v>
      </c>
      <c r="L83" s="3" t="s">
        <v>207</v>
      </c>
      <c r="M83" s="2"/>
      <c r="N83" s="2" t="s">
        <v>21</v>
      </c>
      <c r="O83" s="2" t="s">
        <v>22</v>
      </c>
    </row>
    <row r="84" customFormat="false" ht="35.05" hidden="false" customHeight="false" outlineLevel="0" collapsed="false">
      <c r="A84" s="2" t="n">
        <v>70</v>
      </c>
      <c r="B84" s="2" t="s">
        <v>32</v>
      </c>
      <c r="C84" s="3" t="s">
        <v>208</v>
      </c>
      <c r="D84" s="2" t="s">
        <v>88</v>
      </c>
      <c r="E84" s="2" t="s">
        <v>75</v>
      </c>
      <c r="F84" s="3" t="s">
        <v>75</v>
      </c>
      <c r="G84" s="4" t="n">
        <v>46321</v>
      </c>
      <c r="H84" s="2" t="str">
        <f aca="false">TEXT(G84,"ddd")</f>
        <v>Mon</v>
      </c>
      <c r="I84" s="5" t="n">
        <v>0.708333333333333</v>
      </c>
      <c r="J84" s="5" t="n">
        <v>0.833333333333333</v>
      </c>
      <c r="K84" s="6" t="n">
        <f aca="false">ROUND((J84-I84)*24,2)</f>
        <v>3</v>
      </c>
      <c r="L84" s="3" t="s">
        <v>209</v>
      </c>
      <c r="M84" s="2"/>
      <c r="N84" s="2" t="s">
        <v>21</v>
      </c>
      <c r="O84" s="2" t="s">
        <v>22</v>
      </c>
    </row>
    <row r="85" customFormat="false" ht="23.85" hidden="false" customHeight="false" outlineLevel="0" collapsed="false">
      <c r="A85" s="2" t="n">
        <v>71</v>
      </c>
      <c r="B85" s="2" t="s">
        <v>32</v>
      </c>
      <c r="C85" s="3" t="s">
        <v>210</v>
      </c>
      <c r="D85" s="2" t="s">
        <v>34</v>
      </c>
      <c r="E85" s="2" t="s">
        <v>35</v>
      </c>
      <c r="F85" s="3" t="s">
        <v>36</v>
      </c>
      <c r="G85" s="4" t="n">
        <v>46322</v>
      </c>
      <c r="H85" s="2" t="str">
        <f aca="false">TEXT(G85,"ddd")</f>
        <v>Tue</v>
      </c>
      <c r="I85" s="5" t="n">
        <v>0.395833333333333</v>
      </c>
      <c r="J85" s="5" t="n">
        <v>0.479166666666667</v>
      </c>
      <c r="K85" s="6" t="n">
        <f aca="false">ROUND((J85-I85)*24,2)</f>
        <v>2</v>
      </c>
      <c r="L85" s="3" t="s">
        <v>211</v>
      </c>
      <c r="M85" s="2"/>
      <c r="N85" s="2" t="s">
        <v>21</v>
      </c>
      <c r="O85" s="2" t="s">
        <v>22</v>
      </c>
    </row>
    <row r="86" customFormat="false" ht="23.85" hidden="false" customHeight="false" outlineLevel="0" collapsed="false">
      <c r="A86" s="2" t="n">
        <v>72</v>
      </c>
      <c r="B86" s="2" t="s">
        <v>32</v>
      </c>
      <c r="C86" s="3" t="s">
        <v>212</v>
      </c>
      <c r="D86" s="2" t="s">
        <v>42</v>
      </c>
      <c r="E86" s="2" t="s">
        <v>18</v>
      </c>
      <c r="F86" s="3" t="s">
        <v>19</v>
      </c>
      <c r="G86" s="4" t="n">
        <v>46322</v>
      </c>
      <c r="H86" s="2" t="str">
        <f aca="false">TEXT(G86,"ddd")</f>
        <v>Tue</v>
      </c>
      <c r="I86" s="5" t="n">
        <v>0.5</v>
      </c>
      <c r="J86" s="5" t="n">
        <v>0.541666666666667</v>
      </c>
      <c r="K86" s="6" t="n">
        <f aca="false">ROUND((J86-I86)*24,2)</f>
        <v>1</v>
      </c>
      <c r="L86" s="3" t="s">
        <v>213</v>
      </c>
      <c r="M86" s="2"/>
      <c r="N86" s="2" t="s">
        <v>21</v>
      </c>
      <c r="O86" s="2" t="s">
        <v>22</v>
      </c>
    </row>
    <row r="87" customFormat="false" ht="23.85" hidden="false" customHeight="false" outlineLevel="0" collapsed="false">
      <c r="A87" s="2" t="n">
        <v>73</v>
      </c>
      <c r="B87" s="2" t="s">
        <v>32</v>
      </c>
      <c r="C87" s="3" t="s">
        <v>214</v>
      </c>
      <c r="D87" s="2" t="s">
        <v>88</v>
      </c>
      <c r="E87" s="2" t="s">
        <v>215</v>
      </c>
      <c r="F87" s="3" t="s">
        <v>216</v>
      </c>
      <c r="G87" s="4" t="n">
        <v>46322</v>
      </c>
      <c r="H87" s="2" t="str">
        <f aca="false">TEXT(G87,"ddd")</f>
        <v>Tue</v>
      </c>
      <c r="I87" s="5" t="n">
        <v>0.5</v>
      </c>
      <c r="J87" s="5" t="n">
        <v>0.625</v>
      </c>
      <c r="K87" s="6" t="n">
        <f aca="false">ROUND((J87-I87)*24,2)</f>
        <v>3</v>
      </c>
      <c r="L87" s="3" t="s">
        <v>217</v>
      </c>
      <c r="M87" s="2"/>
      <c r="N87" s="2" t="s">
        <v>21</v>
      </c>
      <c r="O87" s="2" t="s">
        <v>22</v>
      </c>
    </row>
    <row r="88" customFormat="false" ht="23.85" hidden="false" customHeight="false" outlineLevel="0" collapsed="false">
      <c r="A88" s="2" t="n">
        <v>74</v>
      </c>
      <c r="B88" s="2" t="s">
        <v>32</v>
      </c>
      <c r="C88" s="3" t="s">
        <v>218</v>
      </c>
      <c r="D88" s="2" t="s">
        <v>49</v>
      </c>
      <c r="E88" s="2" t="s">
        <v>50</v>
      </c>
      <c r="F88" s="3"/>
      <c r="G88" s="4" t="n">
        <v>46322</v>
      </c>
      <c r="H88" s="2" t="str">
        <f aca="false">TEXT(G88,"ddd")</f>
        <v>Tue</v>
      </c>
      <c r="I88" s="5" t="n">
        <v>0.541666666666667</v>
      </c>
      <c r="J88" s="5" t="n">
        <v>0.583333333333333</v>
      </c>
      <c r="K88" s="6" t="n">
        <f aca="false">ROUND((J88-I88)*24,2)</f>
        <v>1</v>
      </c>
      <c r="L88" s="3" t="s">
        <v>219</v>
      </c>
      <c r="M88" s="2"/>
      <c r="N88" s="2" t="s">
        <v>21</v>
      </c>
      <c r="O88" s="2" t="s">
        <v>22</v>
      </c>
    </row>
    <row r="89" customFormat="false" ht="23.85" hidden="false" customHeight="false" outlineLevel="0" collapsed="false">
      <c r="A89" s="2" t="n">
        <v>75</v>
      </c>
      <c r="B89" s="2" t="s">
        <v>32</v>
      </c>
      <c r="C89" s="3" t="s">
        <v>66</v>
      </c>
      <c r="D89" s="2" t="s">
        <v>45</v>
      </c>
      <c r="E89" s="2" t="s">
        <v>18</v>
      </c>
      <c r="F89" s="3" t="s">
        <v>19</v>
      </c>
      <c r="G89" s="4" t="n">
        <v>46322</v>
      </c>
      <c r="H89" s="2" t="str">
        <f aca="false">TEXT(G89,"ddd")</f>
        <v>Tue</v>
      </c>
      <c r="I89" s="5" t="n">
        <v>0.541666666666667</v>
      </c>
      <c r="J89" s="5" t="n">
        <v>0.576388888888889</v>
      </c>
      <c r="K89" s="6" t="n">
        <f aca="false">ROUND((J89-I89)*24,2)</f>
        <v>0.83</v>
      </c>
      <c r="L89" s="3" t="s">
        <v>67</v>
      </c>
      <c r="M89" s="2"/>
      <c r="N89" s="2" t="s">
        <v>21</v>
      </c>
      <c r="O89" s="2" t="s">
        <v>22</v>
      </c>
    </row>
    <row r="90" customFormat="false" ht="35.05" hidden="false" customHeight="false" outlineLevel="0" collapsed="false">
      <c r="A90" s="2" t="n">
        <v>76</v>
      </c>
      <c r="B90" s="2" t="s">
        <v>32</v>
      </c>
      <c r="C90" s="3" t="s">
        <v>220</v>
      </c>
      <c r="D90" s="2" t="s">
        <v>39</v>
      </c>
      <c r="E90" s="2" t="s">
        <v>35</v>
      </c>
      <c r="F90" s="3" t="s">
        <v>221</v>
      </c>
      <c r="G90" s="4" t="n">
        <v>46322</v>
      </c>
      <c r="H90" s="2" t="str">
        <f aca="false">TEXT(G90,"ddd")</f>
        <v>Tue</v>
      </c>
      <c r="I90" s="5" t="n">
        <v>0.760416666666667</v>
      </c>
      <c r="J90" s="5" t="n">
        <v>0.854166666666667</v>
      </c>
      <c r="K90" s="6" t="n">
        <f aca="false">ROUND((J90-I90)*24,2)</f>
        <v>2.25</v>
      </c>
      <c r="L90" s="3" t="s">
        <v>222</v>
      </c>
      <c r="M90" s="2"/>
      <c r="N90" s="2" t="s">
        <v>21</v>
      </c>
      <c r="O90" s="2" t="s">
        <v>22</v>
      </c>
    </row>
    <row r="91" customFormat="false" ht="41" hidden="false" customHeight="false" outlineLevel="0" collapsed="false">
      <c r="A91" s="2" t="n">
        <v>77</v>
      </c>
      <c r="B91" s="2" t="s">
        <v>32</v>
      </c>
      <c r="C91" s="3" t="s">
        <v>223</v>
      </c>
      <c r="D91" s="2" t="s">
        <v>39</v>
      </c>
      <c r="E91" s="2" t="s">
        <v>35</v>
      </c>
      <c r="F91" s="3" t="s">
        <v>59</v>
      </c>
      <c r="G91" s="4" t="n">
        <v>46323</v>
      </c>
      <c r="H91" s="2" t="str">
        <f aca="false">TEXT(G91,"ddd")</f>
        <v>Wed</v>
      </c>
      <c r="I91" s="5" t="n">
        <v>0.53125</v>
      </c>
      <c r="J91" s="5" t="n">
        <v>0.65625</v>
      </c>
      <c r="K91" s="6" t="n">
        <f aca="false">ROUND((J91-I91)*24,2)</f>
        <v>3</v>
      </c>
      <c r="L91" s="7" t="s">
        <v>224</v>
      </c>
      <c r="M91" s="2"/>
      <c r="N91" s="2" t="s">
        <v>21</v>
      </c>
      <c r="O91" s="2" t="s">
        <v>22</v>
      </c>
    </row>
    <row r="92" customFormat="false" ht="35.05" hidden="false" customHeight="false" outlineLevel="0" collapsed="false">
      <c r="A92" s="2" t="n">
        <v>78</v>
      </c>
      <c r="B92" s="2" t="s">
        <v>32</v>
      </c>
      <c r="C92" s="3" t="s">
        <v>225</v>
      </c>
      <c r="D92" s="2" t="s">
        <v>39</v>
      </c>
      <c r="E92" s="2" t="s">
        <v>35</v>
      </c>
      <c r="F92" s="3" t="s">
        <v>226</v>
      </c>
      <c r="G92" s="4" t="n">
        <v>46323</v>
      </c>
      <c r="H92" s="2" t="str">
        <f aca="false">TEXT(G92,"ddd")</f>
        <v>Wed</v>
      </c>
      <c r="I92" s="5" t="n">
        <v>0.53125</v>
      </c>
      <c r="J92" s="5" t="n">
        <v>0.604166666666667</v>
      </c>
      <c r="K92" s="6" t="n">
        <f aca="false">ROUND((J92-I92)*24,2)</f>
        <v>1.75</v>
      </c>
      <c r="L92" s="3" t="s">
        <v>227</v>
      </c>
      <c r="M92" s="2"/>
      <c r="N92" s="2" t="s">
        <v>21</v>
      </c>
      <c r="O92" s="2" t="s">
        <v>22</v>
      </c>
    </row>
    <row r="93" customFormat="false" ht="35.05" hidden="false" customHeight="false" outlineLevel="0" collapsed="false">
      <c r="A93" s="2" t="n">
        <v>79</v>
      </c>
      <c r="B93" s="2" t="s">
        <v>32</v>
      </c>
      <c r="C93" s="3" t="s">
        <v>228</v>
      </c>
      <c r="D93" s="2" t="s">
        <v>39</v>
      </c>
      <c r="E93" s="2" t="s">
        <v>35</v>
      </c>
      <c r="F93" s="3" t="s">
        <v>85</v>
      </c>
      <c r="G93" s="4" t="n">
        <v>46323</v>
      </c>
      <c r="H93" s="2" t="str">
        <f aca="false">TEXT(G93,"ddd")</f>
        <v>Wed</v>
      </c>
      <c r="I93" s="5" t="n">
        <v>0.53125</v>
      </c>
      <c r="J93" s="5" t="n">
        <v>0.59375</v>
      </c>
      <c r="K93" s="6" t="n">
        <f aca="false">ROUND((J93-I93)*24,2)</f>
        <v>1.5</v>
      </c>
      <c r="L93" s="3" t="s">
        <v>229</v>
      </c>
      <c r="M93" s="2"/>
      <c r="N93" s="2" t="s">
        <v>21</v>
      </c>
      <c r="O93" s="2" t="s">
        <v>22</v>
      </c>
    </row>
    <row r="94" customFormat="false" ht="35.05" hidden="false" customHeight="false" outlineLevel="0" collapsed="false">
      <c r="A94" s="2" t="n">
        <v>80</v>
      </c>
      <c r="B94" s="2" t="s">
        <v>32</v>
      </c>
      <c r="C94" s="3" t="s">
        <v>230</v>
      </c>
      <c r="D94" s="2" t="s">
        <v>53</v>
      </c>
      <c r="E94" s="2" t="s">
        <v>50</v>
      </c>
      <c r="F94" s="3"/>
      <c r="G94" s="4" t="n">
        <v>46323</v>
      </c>
      <c r="H94" s="2" t="str">
        <f aca="false">TEXT(G94,"ddd")</f>
        <v>Wed</v>
      </c>
      <c r="I94" s="5" t="n">
        <v>0.541666666666667</v>
      </c>
      <c r="J94" s="5" t="n">
        <v>0.583333333333333</v>
      </c>
      <c r="K94" s="6" t="n">
        <f aca="false">ROUND((J94-I94)*24,2)</f>
        <v>1</v>
      </c>
      <c r="L94" s="3" t="s">
        <v>231</v>
      </c>
      <c r="M94" s="2"/>
      <c r="N94" s="2" t="s">
        <v>21</v>
      </c>
      <c r="O94" s="2" t="s">
        <v>22</v>
      </c>
    </row>
    <row r="95" customFormat="false" ht="35.05" hidden="false" customHeight="false" outlineLevel="0" collapsed="false">
      <c r="A95" s="2" t="n">
        <v>81</v>
      </c>
      <c r="B95" s="2" t="s">
        <v>32</v>
      </c>
      <c r="C95" s="3" t="s">
        <v>232</v>
      </c>
      <c r="D95" s="2" t="s">
        <v>53</v>
      </c>
      <c r="E95" s="2" t="s">
        <v>18</v>
      </c>
      <c r="F95" s="3" t="s">
        <v>19</v>
      </c>
      <c r="G95" s="4" t="n">
        <v>46323</v>
      </c>
      <c r="H95" s="2" t="str">
        <f aca="false">TEXT(G95,"ddd")</f>
        <v>Wed</v>
      </c>
      <c r="I95" s="5" t="n">
        <v>0.541666666666667</v>
      </c>
      <c r="J95" s="5" t="n">
        <v>0.583333333333333</v>
      </c>
      <c r="K95" s="6" t="n">
        <f aca="false">ROUND((J95-I95)*24,2)</f>
        <v>1</v>
      </c>
      <c r="L95" s="3" t="s">
        <v>233</v>
      </c>
      <c r="M95" s="2"/>
      <c r="N95" s="2" t="s">
        <v>21</v>
      </c>
      <c r="O95" s="2" t="s">
        <v>22</v>
      </c>
    </row>
    <row r="96" customFormat="false" ht="23.85" hidden="false" customHeight="false" outlineLevel="0" collapsed="false">
      <c r="A96" s="2" t="n">
        <v>82</v>
      </c>
      <c r="B96" s="2" t="s">
        <v>32</v>
      </c>
      <c r="C96" s="3" t="s">
        <v>234</v>
      </c>
      <c r="D96" s="2" t="s">
        <v>190</v>
      </c>
      <c r="E96" s="2" t="s">
        <v>35</v>
      </c>
      <c r="F96" s="3" t="s">
        <v>235</v>
      </c>
      <c r="G96" s="4" t="n">
        <v>46323</v>
      </c>
      <c r="H96" s="2" t="str">
        <f aca="false">TEXT(G96,"ddd")</f>
        <v>Wed</v>
      </c>
      <c r="I96" s="5" t="n">
        <v>0.5625</v>
      </c>
      <c r="J96" s="5" t="n">
        <v>0.625</v>
      </c>
      <c r="K96" s="6" t="n">
        <f aca="false">ROUND((J96-I96)*24,2)</f>
        <v>1.5</v>
      </c>
      <c r="L96" s="3" t="s">
        <v>236</v>
      </c>
      <c r="M96" s="2"/>
      <c r="N96" s="2" t="s">
        <v>21</v>
      </c>
      <c r="O96" s="2" t="s">
        <v>22</v>
      </c>
    </row>
    <row r="97" customFormat="false" ht="35.05" hidden="false" customHeight="false" outlineLevel="0" collapsed="false">
      <c r="A97" s="2" t="n">
        <v>83</v>
      </c>
      <c r="B97" s="2" t="s">
        <v>32</v>
      </c>
      <c r="C97" s="3" t="s">
        <v>237</v>
      </c>
      <c r="D97" s="2" t="s">
        <v>80</v>
      </c>
      <c r="E97" s="2" t="s">
        <v>35</v>
      </c>
      <c r="F97" s="3" t="s">
        <v>92</v>
      </c>
      <c r="G97" s="4" t="n">
        <v>46323</v>
      </c>
      <c r="H97" s="2" t="str">
        <f aca="false">TEXT(G97,"ddd")</f>
        <v>Wed</v>
      </c>
      <c r="I97" s="5" t="n">
        <v>0.604166666666667</v>
      </c>
      <c r="J97" s="5" t="n">
        <v>0.708333333333333</v>
      </c>
      <c r="K97" s="6" t="n">
        <f aca="false">ROUND((J97-I97)*24,2)</f>
        <v>2.5</v>
      </c>
      <c r="L97" s="3" t="s">
        <v>238</v>
      </c>
      <c r="M97" s="2"/>
      <c r="N97" s="2" t="s">
        <v>21</v>
      </c>
      <c r="O97" s="2" t="s">
        <v>22</v>
      </c>
    </row>
    <row r="98" customFormat="false" ht="23.85" hidden="false" customHeight="false" outlineLevel="0" collapsed="false">
      <c r="A98" s="2" t="n">
        <v>84</v>
      </c>
      <c r="B98" s="2" t="s">
        <v>32</v>
      </c>
      <c r="C98" s="3" t="s">
        <v>239</v>
      </c>
      <c r="D98" s="2" t="s">
        <v>88</v>
      </c>
      <c r="E98" s="2" t="s">
        <v>35</v>
      </c>
      <c r="F98" s="3" t="s">
        <v>89</v>
      </c>
      <c r="G98" s="4" t="n">
        <v>46323</v>
      </c>
      <c r="H98" s="2" t="str">
        <f aca="false">TEXT(G98,"ddd")</f>
        <v>Wed</v>
      </c>
      <c r="I98" s="5" t="n">
        <v>0.666666666666667</v>
      </c>
      <c r="J98" s="5" t="n">
        <v>0.791666666666667</v>
      </c>
      <c r="K98" s="6" t="n">
        <f aca="false">ROUND((J98-I98)*24,2)</f>
        <v>3</v>
      </c>
      <c r="L98" s="3" t="s">
        <v>240</v>
      </c>
      <c r="M98" s="2"/>
      <c r="N98" s="2" t="s">
        <v>21</v>
      </c>
      <c r="O98" s="2" t="s">
        <v>22</v>
      </c>
    </row>
    <row r="99" customFormat="false" ht="23.85" hidden="false" customHeight="false" outlineLevel="0" collapsed="false">
      <c r="A99" s="2" t="n">
        <v>85</v>
      </c>
      <c r="B99" s="2" t="s">
        <v>32</v>
      </c>
      <c r="C99" s="3" t="s">
        <v>241</v>
      </c>
      <c r="D99" s="2" t="s">
        <v>49</v>
      </c>
      <c r="E99" s="2" t="s">
        <v>50</v>
      </c>
      <c r="F99" s="3"/>
      <c r="G99" s="4" t="n">
        <v>46324</v>
      </c>
      <c r="H99" s="2" t="str">
        <f aca="false">TEXT(G99,"ddd")</f>
        <v>Thu</v>
      </c>
      <c r="I99" s="5" t="n">
        <v>0.541666666666667</v>
      </c>
      <c r="J99" s="5" t="n">
        <v>0.583333333333333</v>
      </c>
      <c r="K99" s="6" t="n">
        <f aca="false">ROUND((J99-I99)*24,2)</f>
        <v>1</v>
      </c>
      <c r="L99" s="3" t="s">
        <v>242</v>
      </c>
      <c r="M99" s="2"/>
      <c r="N99" s="2" t="s">
        <v>21</v>
      </c>
      <c r="O99" s="2" t="s">
        <v>22</v>
      </c>
    </row>
    <row r="100" customFormat="false" ht="23.85" hidden="false" customHeight="false" outlineLevel="0" collapsed="false">
      <c r="A100" s="2" t="n">
        <v>86</v>
      </c>
      <c r="B100" s="2" t="s">
        <v>32</v>
      </c>
      <c r="C100" s="3" t="s">
        <v>243</v>
      </c>
      <c r="D100" s="2" t="s">
        <v>39</v>
      </c>
      <c r="E100" s="2" t="s">
        <v>35</v>
      </c>
      <c r="F100" s="3" t="s">
        <v>244</v>
      </c>
      <c r="G100" s="4" t="n">
        <v>46324</v>
      </c>
      <c r="H100" s="2" t="str">
        <f aca="false">TEXT(G100,"ddd")</f>
        <v>Thu</v>
      </c>
      <c r="I100" s="5" t="n">
        <v>0.729166666666667</v>
      </c>
      <c r="J100" s="5" t="n">
        <v>0.8125</v>
      </c>
      <c r="K100" s="6" t="n">
        <f aca="false">ROUND((J100-I100)*24,2)</f>
        <v>2</v>
      </c>
      <c r="L100" s="3" t="s">
        <v>245</v>
      </c>
      <c r="M100" s="2"/>
      <c r="N100" s="2" t="s">
        <v>21</v>
      </c>
      <c r="O100" s="2" t="s">
        <v>22</v>
      </c>
    </row>
    <row r="101" customFormat="false" ht="35.05" hidden="false" customHeight="false" outlineLevel="0" collapsed="false">
      <c r="A101" s="2" t="n">
        <v>87</v>
      </c>
      <c r="B101" s="2" t="s">
        <v>32</v>
      </c>
      <c r="C101" s="3" t="s">
        <v>246</v>
      </c>
      <c r="D101" s="2" t="s">
        <v>187</v>
      </c>
      <c r="E101" s="2" t="s">
        <v>50</v>
      </c>
      <c r="F101" s="3"/>
      <c r="G101" s="4" t="n">
        <v>46324</v>
      </c>
      <c r="H101" s="2" t="str">
        <f aca="false">TEXT(G101,"ddd")</f>
        <v>Thu</v>
      </c>
      <c r="I101" s="5" t="n">
        <v>0.729166666666667</v>
      </c>
      <c r="J101" s="5" t="n">
        <v>0.791666666666667</v>
      </c>
      <c r="K101" s="6" t="n">
        <f aca="false">ROUND((J101-I101)*24,2)</f>
        <v>1.5</v>
      </c>
      <c r="L101" s="3" t="s">
        <v>247</v>
      </c>
      <c r="M101" s="2"/>
      <c r="N101" s="2" t="s">
        <v>21</v>
      </c>
      <c r="O101" s="2" t="s">
        <v>22</v>
      </c>
    </row>
    <row r="102" customFormat="false" ht="23.85" hidden="false" customHeight="false" outlineLevel="0" collapsed="false">
      <c r="A102" s="2" t="n">
        <v>88</v>
      </c>
      <c r="B102" s="2" t="s">
        <v>32</v>
      </c>
      <c r="C102" s="3" t="s">
        <v>248</v>
      </c>
      <c r="D102" s="2" t="s">
        <v>39</v>
      </c>
      <c r="E102" s="2" t="s">
        <v>35</v>
      </c>
      <c r="F102" s="3" t="s">
        <v>249</v>
      </c>
      <c r="G102" s="4" t="n">
        <v>46324</v>
      </c>
      <c r="H102" s="2" t="str">
        <f aca="false">TEXT(G102,"ddd")</f>
        <v>Thu</v>
      </c>
      <c r="I102" s="5" t="n">
        <v>0.75</v>
      </c>
      <c r="J102" s="5" t="n">
        <v>0.833333333333333</v>
      </c>
      <c r="K102" s="6" t="n">
        <f aca="false">ROUND((J102-I102)*24,2)</f>
        <v>2</v>
      </c>
      <c r="L102" s="3" t="s">
        <v>250</v>
      </c>
      <c r="M102" s="2"/>
      <c r="N102" s="2" t="s">
        <v>21</v>
      </c>
      <c r="O102" s="2" t="s">
        <v>22</v>
      </c>
    </row>
    <row r="103" customFormat="false" ht="35.05" hidden="false" customHeight="false" outlineLevel="0" collapsed="false">
      <c r="A103" s="2" t="n">
        <v>89</v>
      </c>
      <c r="B103" s="2" t="s">
        <v>32</v>
      </c>
      <c r="C103" s="3" t="s">
        <v>251</v>
      </c>
      <c r="D103" s="2" t="s">
        <v>39</v>
      </c>
      <c r="E103" s="2" t="s">
        <v>35</v>
      </c>
      <c r="F103" s="3" t="s">
        <v>221</v>
      </c>
      <c r="G103" s="4" t="n">
        <v>46324</v>
      </c>
      <c r="H103" s="2" t="str">
        <f aca="false">TEXT(G103,"ddd")</f>
        <v>Thu</v>
      </c>
      <c r="I103" s="5" t="n">
        <v>0.760416666666667</v>
      </c>
      <c r="J103" s="5" t="n">
        <v>0.875</v>
      </c>
      <c r="K103" s="6" t="n">
        <f aca="false">ROUND((J103-I103)*24,2)</f>
        <v>2.75</v>
      </c>
      <c r="L103" s="3" t="s">
        <v>252</v>
      </c>
      <c r="M103" s="2"/>
      <c r="N103" s="2" t="s">
        <v>21</v>
      </c>
      <c r="O103" s="2" t="s">
        <v>22</v>
      </c>
    </row>
    <row r="104" customFormat="false" ht="23.85" hidden="false" customHeight="false" outlineLevel="0" collapsed="false">
      <c r="A104" s="2" t="n">
        <v>90</v>
      </c>
      <c r="B104" s="2" t="s">
        <v>32</v>
      </c>
      <c r="C104" s="3" t="s">
        <v>253</v>
      </c>
      <c r="D104" s="2" t="s">
        <v>64</v>
      </c>
      <c r="E104" s="2" t="s">
        <v>18</v>
      </c>
      <c r="F104" s="3" t="s">
        <v>19</v>
      </c>
      <c r="G104" s="4" t="n">
        <v>46325</v>
      </c>
      <c r="H104" s="2" t="str">
        <f aca="false">TEXT(G104,"ddd")</f>
        <v>Fri</v>
      </c>
      <c r="I104" s="5" t="n">
        <v>0.40625</v>
      </c>
      <c r="J104" s="5" t="n">
        <v>0.541666666666667</v>
      </c>
      <c r="K104" s="6" t="n">
        <f aca="false">ROUND((J104-I104)*24,2)</f>
        <v>3.25</v>
      </c>
      <c r="L104" s="3" t="s">
        <v>254</v>
      </c>
      <c r="M104" s="2" t="s">
        <v>255</v>
      </c>
      <c r="N104" s="2" t="s">
        <v>21</v>
      </c>
      <c r="O104" s="2" t="s">
        <v>22</v>
      </c>
    </row>
    <row r="105" customFormat="false" ht="23.85" hidden="false" customHeight="false" outlineLevel="0" collapsed="false">
      <c r="A105" s="2" t="n">
        <v>91</v>
      </c>
      <c r="B105" s="2" t="s">
        <v>32</v>
      </c>
      <c r="C105" s="3" t="s">
        <v>44</v>
      </c>
      <c r="D105" s="2" t="s">
        <v>45</v>
      </c>
      <c r="E105" s="2" t="s">
        <v>35</v>
      </c>
      <c r="F105" s="3" t="s">
        <v>46</v>
      </c>
      <c r="G105" s="4" t="n">
        <v>46325</v>
      </c>
      <c r="H105" s="2" t="str">
        <f aca="false">TEXT(G105,"ddd")</f>
        <v>Fri</v>
      </c>
      <c r="I105" s="5" t="n">
        <v>0.541666666666667</v>
      </c>
      <c r="J105" s="5" t="n">
        <v>0.576388888888889</v>
      </c>
      <c r="K105" s="6" t="n">
        <f aca="false">ROUND((J105-I105)*24,2)</f>
        <v>0.83</v>
      </c>
      <c r="L105" s="3" t="s">
        <v>47</v>
      </c>
      <c r="M105" s="2"/>
      <c r="N105" s="2" t="s">
        <v>21</v>
      </c>
      <c r="O105" s="2" t="s">
        <v>22</v>
      </c>
    </row>
    <row r="106" customFormat="false" ht="23.85" hidden="false" customHeight="false" outlineLevel="0" collapsed="false">
      <c r="A106" s="2" t="n">
        <v>92</v>
      </c>
      <c r="B106" s="2" t="s">
        <v>32</v>
      </c>
      <c r="C106" s="3" t="s">
        <v>256</v>
      </c>
      <c r="D106" s="2" t="s">
        <v>64</v>
      </c>
      <c r="E106" s="2" t="s">
        <v>35</v>
      </c>
      <c r="F106" s="3" t="s">
        <v>46</v>
      </c>
      <c r="G106" s="4" t="n">
        <v>46328</v>
      </c>
      <c r="H106" s="2" t="str">
        <f aca="false">TEXT(G106,"ddd")</f>
        <v>Mon</v>
      </c>
      <c r="I106" s="5" t="n">
        <v>0.520833333333333</v>
      </c>
      <c r="J106" s="5" t="n">
        <v>0.583333333333333</v>
      </c>
      <c r="K106" s="6" t="n">
        <f aca="false">ROUND((J106-I106)*24,2)</f>
        <v>1.5</v>
      </c>
      <c r="L106" s="3" t="s">
        <v>257</v>
      </c>
      <c r="M106" s="2"/>
      <c r="N106" s="2" t="s">
        <v>21</v>
      </c>
      <c r="O106" s="2" t="s">
        <v>22</v>
      </c>
    </row>
    <row r="107" customFormat="false" ht="23.85" hidden="false" customHeight="false" outlineLevel="0" collapsed="false">
      <c r="A107" s="2" t="n">
        <v>93</v>
      </c>
      <c r="B107" s="2" t="s">
        <v>32</v>
      </c>
      <c r="C107" s="3" t="s">
        <v>121</v>
      </c>
      <c r="D107" s="2" t="s">
        <v>45</v>
      </c>
      <c r="E107" s="2" t="s">
        <v>50</v>
      </c>
      <c r="F107" s="3"/>
      <c r="G107" s="4" t="n">
        <v>46328</v>
      </c>
      <c r="H107" s="2" t="str">
        <f aca="false">TEXT(G107,"ddd")</f>
        <v>Mon</v>
      </c>
      <c r="I107" s="5" t="n">
        <v>0.541666666666667</v>
      </c>
      <c r="J107" s="5" t="n">
        <v>0.576388888888889</v>
      </c>
      <c r="K107" s="6" t="n">
        <f aca="false">ROUND((J107-I107)*24,2)</f>
        <v>0.83</v>
      </c>
      <c r="L107" s="3" t="s">
        <v>122</v>
      </c>
      <c r="M107" s="2"/>
      <c r="N107" s="2" t="s">
        <v>21</v>
      </c>
      <c r="O107" s="2" t="s">
        <v>22</v>
      </c>
    </row>
    <row r="108" customFormat="false" ht="35.05" hidden="false" customHeight="false" outlineLevel="0" collapsed="false">
      <c r="A108" s="2" t="n">
        <v>94</v>
      </c>
      <c r="B108" s="2" t="s">
        <v>32</v>
      </c>
      <c r="C108" s="3" t="s">
        <v>258</v>
      </c>
      <c r="D108" s="2" t="s">
        <v>53</v>
      </c>
      <c r="E108" s="2" t="s">
        <v>18</v>
      </c>
      <c r="F108" s="3" t="s">
        <v>19</v>
      </c>
      <c r="G108" s="4" t="n">
        <v>46328</v>
      </c>
      <c r="H108" s="2" t="str">
        <f aca="false">TEXT(G108,"ddd")</f>
        <v>Mon</v>
      </c>
      <c r="I108" s="5" t="n">
        <v>0.541666666666667</v>
      </c>
      <c r="J108" s="5" t="n">
        <v>0.583333333333333</v>
      </c>
      <c r="K108" s="6" t="n">
        <f aca="false">ROUND((J108-I108)*24,2)</f>
        <v>1</v>
      </c>
      <c r="L108" s="3" t="s">
        <v>259</v>
      </c>
      <c r="M108" s="2"/>
      <c r="N108" s="2" t="s">
        <v>21</v>
      </c>
      <c r="O108" s="2" t="s">
        <v>22</v>
      </c>
    </row>
    <row r="109" customFormat="false" ht="35.05" hidden="false" customHeight="false" outlineLevel="0" collapsed="false">
      <c r="A109" s="2" t="n">
        <v>95</v>
      </c>
      <c r="B109" s="2" t="s">
        <v>32</v>
      </c>
      <c r="C109" s="3" t="s">
        <v>260</v>
      </c>
      <c r="D109" s="2" t="s">
        <v>39</v>
      </c>
      <c r="E109" s="2" t="s">
        <v>35</v>
      </c>
      <c r="F109" s="3" t="s">
        <v>110</v>
      </c>
      <c r="G109" s="4" t="n">
        <v>46328</v>
      </c>
      <c r="H109" s="2" t="str">
        <f aca="false">TEXT(G109,"ddd")</f>
        <v>Mon</v>
      </c>
      <c r="I109" s="5" t="n">
        <v>0.708333333333333</v>
      </c>
      <c r="J109" s="5" t="n">
        <v>0.791666666666667</v>
      </c>
      <c r="K109" s="6" t="n">
        <f aca="false">ROUND((J109-I109)*24,2)</f>
        <v>2</v>
      </c>
      <c r="L109" s="3" t="s">
        <v>261</v>
      </c>
      <c r="M109" s="2"/>
      <c r="N109" s="2" t="s">
        <v>21</v>
      </c>
      <c r="O109" s="2" t="s">
        <v>22</v>
      </c>
    </row>
    <row r="110" customFormat="false" ht="23.85" hidden="false" customHeight="false" outlineLevel="0" collapsed="false">
      <c r="A110" s="2" t="n">
        <v>96</v>
      </c>
      <c r="B110" s="2" t="s">
        <v>32</v>
      </c>
      <c r="C110" s="3" t="s">
        <v>262</v>
      </c>
      <c r="D110" s="2" t="s">
        <v>34</v>
      </c>
      <c r="E110" s="2" t="s">
        <v>35</v>
      </c>
      <c r="F110" s="3" t="s">
        <v>36</v>
      </c>
      <c r="G110" s="4" t="n">
        <v>46329</v>
      </c>
      <c r="H110" s="2" t="str">
        <f aca="false">TEXT(G110,"ddd")</f>
        <v>Tue</v>
      </c>
      <c r="I110" s="5" t="n">
        <v>0.395833333333333</v>
      </c>
      <c r="J110" s="5" t="n">
        <v>0.479166666666667</v>
      </c>
      <c r="K110" s="6" t="n">
        <f aca="false">ROUND((J110-I110)*24,2)</f>
        <v>2</v>
      </c>
      <c r="L110" s="3" t="s">
        <v>263</v>
      </c>
      <c r="M110" s="2"/>
      <c r="N110" s="2" t="s">
        <v>21</v>
      </c>
      <c r="O110" s="2" t="s">
        <v>22</v>
      </c>
    </row>
    <row r="111" customFormat="false" ht="35.05" hidden="false" customHeight="false" outlineLevel="0" collapsed="false">
      <c r="A111" s="2" t="n">
        <v>97</v>
      </c>
      <c r="B111" s="2" t="s">
        <v>32</v>
      </c>
      <c r="C111" s="3" t="s">
        <v>161</v>
      </c>
      <c r="D111" s="2" t="s">
        <v>45</v>
      </c>
      <c r="E111" s="2" t="s">
        <v>35</v>
      </c>
      <c r="F111" s="3" t="s">
        <v>46</v>
      </c>
      <c r="G111" s="4" t="n">
        <v>46329</v>
      </c>
      <c r="H111" s="2" t="str">
        <f aca="false">TEXT(G111,"ddd")</f>
        <v>Tue</v>
      </c>
      <c r="I111" s="5" t="n">
        <v>0.541666666666667</v>
      </c>
      <c r="J111" s="5" t="n">
        <v>0.576388888888889</v>
      </c>
      <c r="K111" s="6" t="n">
        <f aca="false">ROUND((J111-I111)*24,2)</f>
        <v>0.83</v>
      </c>
      <c r="L111" s="3" t="s">
        <v>162</v>
      </c>
      <c r="M111" s="2"/>
      <c r="N111" s="2" t="s">
        <v>21</v>
      </c>
      <c r="O111" s="2" t="s">
        <v>22</v>
      </c>
    </row>
    <row r="112" customFormat="false" ht="23.85" hidden="false" customHeight="false" outlineLevel="0" collapsed="false">
      <c r="A112" s="2" t="n">
        <v>98</v>
      </c>
      <c r="B112" s="2" t="s">
        <v>32</v>
      </c>
      <c r="C112" s="3" t="s">
        <v>48</v>
      </c>
      <c r="D112" s="2" t="s">
        <v>49</v>
      </c>
      <c r="E112" s="2" t="s">
        <v>50</v>
      </c>
      <c r="F112" s="3"/>
      <c r="G112" s="4" t="n">
        <v>46329</v>
      </c>
      <c r="H112" s="2" t="str">
        <f aca="false">TEXT(G112,"ddd")</f>
        <v>Tue</v>
      </c>
      <c r="I112" s="5" t="n">
        <v>0.541666666666667</v>
      </c>
      <c r="J112" s="5" t="n">
        <v>0.583333333333333</v>
      </c>
      <c r="K112" s="6" t="n">
        <f aca="false">ROUND((J112-I112)*24,2)</f>
        <v>1</v>
      </c>
      <c r="L112" s="3" t="s">
        <v>51</v>
      </c>
      <c r="M112" s="2"/>
      <c r="N112" s="2" t="s">
        <v>21</v>
      </c>
      <c r="O112" s="2" t="s">
        <v>22</v>
      </c>
    </row>
    <row r="113" customFormat="false" ht="23.85" hidden="false" customHeight="false" outlineLevel="0" collapsed="false">
      <c r="A113" s="2" t="n">
        <v>99</v>
      </c>
      <c r="B113" s="2" t="s">
        <v>15</v>
      </c>
      <c r="C113" s="3" t="s">
        <v>264</v>
      </c>
      <c r="D113" s="2" t="s">
        <v>17</v>
      </c>
      <c r="E113" s="2" t="s">
        <v>18</v>
      </c>
      <c r="F113" s="3" t="s">
        <v>19</v>
      </c>
      <c r="G113" s="4" t="n">
        <v>46329</v>
      </c>
      <c r="H113" s="2" t="str">
        <f aca="false">TEXT(G113,"ddd")</f>
        <v>Tue</v>
      </c>
      <c r="I113" s="5" t="n">
        <v>0.548611111111111</v>
      </c>
      <c r="J113" s="5" t="n">
        <v>0.583333333333333</v>
      </c>
      <c r="K113" s="6" t="n">
        <f aca="false">ROUND((J113-I113)*24,2)</f>
        <v>0.83</v>
      </c>
      <c r="L113" s="3" t="s">
        <v>20</v>
      </c>
      <c r="M113" s="2"/>
      <c r="N113" s="2" t="s">
        <v>21</v>
      </c>
      <c r="O113" s="2" t="s">
        <v>22</v>
      </c>
    </row>
    <row r="114" customFormat="false" ht="23.85" hidden="false" customHeight="false" outlineLevel="0" collapsed="false">
      <c r="A114" s="2" t="n">
        <v>99</v>
      </c>
      <c r="B114" s="2" t="s">
        <v>23</v>
      </c>
      <c r="C114" s="3" t="s">
        <v>264</v>
      </c>
      <c r="D114" s="2" t="s">
        <v>17</v>
      </c>
      <c r="E114" s="2" t="s">
        <v>18</v>
      </c>
      <c r="F114" s="3" t="s">
        <v>19</v>
      </c>
      <c r="G114" s="4" t="n">
        <v>46344</v>
      </c>
      <c r="H114" s="2" t="str">
        <f aca="false">TEXT(G114,"ddd")</f>
        <v>Wed</v>
      </c>
      <c r="I114" s="5" t="n">
        <v>0.548611111111111</v>
      </c>
      <c r="J114" s="5" t="n">
        <v>0.583333333333333</v>
      </c>
      <c r="K114" s="6" t="n">
        <f aca="false">ROUND((J114-I114)*24,2)</f>
        <v>0.83</v>
      </c>
      <c r="L114" s="3" t="s">
        <v>20</v>
      </c>
      <c r="M114" s="2"/>
      <c r="N114" s="2" t="s">
        <v>21</v>
      </c>
      <c r="O114" s="2" t="s">
        <v>22</v>
      </c>
    </row>
    <row r="115" customFormat="false" ht="23.85" hidden="false" customHeight="false" outlineLevel="0" collapsed="false">
      <c r="A115" s="2" t="n">
        <v>99</v>
      </c>
      <c r="B115" s="2" t="s">
        <v>24</v>
      </c>
      <c r="C115" s="3" t="s">
        <v>264</v>
      </c>
      <c r="D115" s="2" t="s">
        <v>17</v>
      </c>
      <c r="E115" s="2" t="s">
        <v>18</v>
      </c>
      <c r="F115" s="3" t="s">
        <v>19</v>
      </c>
      <c r="G115" s="4" t="n">
        <v>46358</v>
      </c>
      <c r="H115" s="2" t="str">
        <f aca="false">TEXT(G115,"ddd")</f>
        <v>Wed</v>
      </c>
      <c r="I115" s="5" t="n">
        <v>0.548611111111111</v>
      </c>
      <c r="J115" s="5" t="n">
        <v>0.583333333333333</v>
      </c>
      <c r="K115" s="6" t="n">
        <f aca="false">ROUND((J115-I115)*24,2)</f>
        <v>0.83</v>
      </c>
      <c r="L115" s="3" t="s">
        <v>20</v>
      </c>
      <c r="M115" s="2"/>
      <c r="N115" s="2" t="s">
        <v>21</v>
      </c>
      <c r="O115" s="2" t="s">
        <v>22</v>
      </c>
    </row>
    <row r="116" customFormat="false" ht="23.85" hidden="false" customHeight="false" outlineLevel="0" collapsed="false">
      <c r="A116" s="2" t="n">
        <v>100</v>
      </c>
      <c r="B116" s="2" t="s">
        <v>32</v>
      </c>
      <c r="C116" s="3" t="s">
        <v>265</v>
      </c>
      <c r="D116" s="2" t="s">
        <v>39</v>
      </c>
      <c r="E116" s="2" t="s">
        <v>35</v>
      </c>
      <c r="F116" s="3" t="s">
        <v>56</v>
      </c>
      <c r="G116" s="4" t="n">
        <v>46329</v>
      </c>
      <c r="H116" s="2" t="str">
        <f aca="false">TEXT(G116,"ddd")</f>
        <v>Tue</v>
      </c>
      <c r="I116" s="5" t="n">
        <v>0.75</v>
      </c>
      <c r="J116" s="5" t="n">
        <v>0.833333333333333</v>
      </c>
      <c r="K116" s="6" t="n">
        <f aca="false">ROUND((J116-I116)*24,2)</f>
        <v>2</v>
      </c>
      <c r="L116" s="3" t="s">
        <v>265</v>
      </c>
      <c r="M116" s="2"/>
      <c r="N116" s="2" t="s">
        <v>21</v>
      </c>
      <c r="O116" s="2" t="s">
        <v>22</v>
      </c>
    </row>
    <row r="117" customFormat="false" ht="23.85" hidden="false" customHeight="false" outlineLevel="0" collapsed="false">
      <c r="A117" s="2" t="n">
        <v>101</v>
      </c>
      <c r="B117" s="2" t="s">
        <v>32</v>
      </c>
      <c r="C117" s="3" t="s">
        <v>266</v>
      </c>
      <c r="D117" s="2" t="s">
        <v>39</v>
      </c>
      <c r="E117" s="2" t="s">
        <v>18</v>
      </c>
      <c r="F117" s="3" t="s">
        <v>19</v>
      </c>
      <c r="G117" s="4" t="n">
        <v>46330</v>
      </c>
      <c r="H117" s="2" t="str">
        <f aca="false">TEXT(G117,"ddd")</f>
        <v>Wed</v>
      </c>
      <c r="I117" s="5" t="n">
        <v>0.5</v>
      </c>
      <c r="J117" s="5" t="n">
        <v>0.541666666666667</v>
      </c>
      <c r="K117" s="6" t="n">
        <f aca="false">ROUND((J117-I117)*24,2)</f>
        <v>1</v>
      </c>
      <c r="L117" s="3" t="s">
        <v>267</v>
      </c>
      <c r="M117" s="2" t="s">
        <v>151</v>
      </c>
      <c r="N117" s="2" t="s">
        <v>268</v>
      </c>
      <c r="O117" s="2" t="s">
        <v>22</v>
      </c>
    </row>
    <row r="118" customFormat="false" ht="23.85" hidden="false" customHeight="false" outlineLevel="0" collapsed="false">
      <c r="A118" s="2" t="n">
        <v>102</v>
      </c>
      <c r="B118" s="2" t="s">
        <v>32</v>
      </c>
      <c r="C118" s="3" t="s">
        <v>269</v>
      </c>
      <c r="D118" s="2" t="s">
        <v>49</v>
      </c>
      <c r="E118" s="2" t="s">
        <v>50</v>
      </c>
      <c r="F118" s="3"/>
      <c r="G118" s="4" t="n">
        <v>46330</v>
      </c>
      <c r="H118" s="2" t="str">
        <f aca="false">TEXT(G118,"ddd")</f>
        <v>Wed</v>
      </c>
      <c r="I118" s="5" t="n">
        <v>0.541666666666667</v>
      </c>
      <c r="J118" s="5" t="n">
        <v>0.583333333333333</v>
      </c>
      <c r="K118" s="6" t="n">
        <f aca="false">ROUND((J118-I118)*24,2)</f>
        <v>1</v>
      </c>
      <c r="L118" s="3" t="s">
        <v>270</v>
      </c>
      <c r="M118" s="2"/>
      <c r="N118" s="2" t="s">
        <v>268</v>
      </c>
      <c r="O118" s="2" t="s">
        <v>22</v>
      </c>
    </row>
    <row r="119" customFormat="false" ht="23.85" hidden="false" customHeight="false" outlineLevel="0" collapsed="false">
      <c r="A119" s="2" t="n">
        <v>103</v>
      </c>
      <c r="B119" s="2" t="s">
        <v>32</v>
      </c>
      <c r="C119" s="3" t="s">
        <v>271</v>
      </c>
      <c r="D119" s="2" t="s">
        <v>190</v>
      </c>
      <c r="E119" s="2" t="s">
        <v>35</v>
      </c>
      <c r="F119" s="3" t="s">
        <v>235</v>
      </c>
      <c r="G119" s="4" t="n">
        <v>46330</v>
      </c>
      <c r="H119" s="2" t="str">
        <f aca="false">TEXT(G119,"ddd")</f>
        <v>Wed</v>
      </c>
      <c r="I119" s="5" t="n">
        <v>0.583333333333333</v>
      </c>
      <c r="J119" s="5" t="n">
        <v>0.666666666666667</v>
      </c>
      <c r="K119" s="6" t="n">
        <f aca="false">ROUND((J119-I119)*24,2)</f>
        <v>2</v>
      </c>
      <c r="L119" s="3" t="s">
        <v>272</v>
      </c>
      <c r="M119" s="2"/>
      <c r="N119" s="2" t="s">
        <v>268</v>
      </c>
      <c r="O119" s="2" t="s">
        <v>22</v>
      </c>
    </row>
    <row r="120" customFormat="false" ht="35.05" hidden="false" customHeight="false" outlineLevel="0" collapsed="false">
      <c r="A120" s="2" t="n">
        <v>104</v>
      </c>
      <c r="B120" s="2" t="s">
        <v>32</v>
      </c>
      <c r="C120" s="3" t="s">
        <v>273</v>
      </c>
      <c r="D120" s="2" t="s">
        <v>39</v>
      </c>
      <c r="E120" s="2" t="s">
        <v>35</v>
      </c>
      <c r="F120" s="3" t="s">
        <v>59</v>
      </c>
      <c r="G120" s="4" t="n">
        <v>46330</v>
      </c>
      <c r="H120" s="2" t="str">
        <f aca="false">TEXT(G120,"ddd")</f>
        <v>Wed</v>
      </c>
      <c r="I120" s="5" t="n">
        <v>0.604166666666667</v>
      </c>
      <c r="J120" s="5" t="n">
        <v>0.65625</v>
      </c>
      <c r="K120" s="6" t="n">
        <f aca="false">ROUND((J120-I120)*24,2)</f>
        <v>1.25</v>
      </c>
      <c r="L120" s="3" t="s">
        <v>274</v>
      </c>
      <c r="M120" s="2"/>
      <c r="N120" s="2" t="s">
        <v>268</v>
      </c>
      <c r="O120" s="2" t="s">
        <v>22</v>
      </c>
    </row>
    <row r="121" customFormat="false" ht="23.85" hidden="false" customHeight="false" outlineLevel="0" collapsed="false">
      <c r="A121" s="2" t="n">
        <v>105</v>
      </c>
      <c r="B121" s="2" t="s">
        <v>32</v>
      </c>
      <c r="C121" s="3" t="s">
        <v>275</v>
      </c>
      <c r="D121" s="2" t="s">
        <v>88</v>
      </c>
      <c r="E121" s="2" t="s">
        <v>35</v>
      </c>
      <c r="F121" s="3" t="s">
        <v>89</v>
      </c>
      <c r="G121" s="4" t="n">
        <v>46330</v>
      </c>
      <c r="H121" s="2" t="str">
        <f aca="false">TEXT(G121,"ddd")</f>
        <v>Wed</v>
      </c>
      <c r="I121" s="5" t="n">
        <v>0.666666666666667</v>
      </c>
      <c r="J121" s="5" t="n">
        <v>0.791666666666667</v>
      </c>
      <c r="K121" s="6" t="n">
        <f aca="false">ROUND((J121-I121)*24,2)</f>
        <v>3</v>
      </c>
      <c r="L121" s="3" t="s">
        <v>276</v>
      </c>
      <c r="M121" s="2"/>
      <c r="N121" s="2" t="s">
        <v>268</v>
      </c>
      <c r="O121" s="2" t="s">
        <v>22</v>
      </c>
    </row>
    <row r="122" customFormat="false" ht="35.05" hidden="false" customHeight="false" outlineLevel="0" collapsed="false">
      <c r="A122" s="2" t="n">
        <v>106</v>
      </c>
      <c r="B122" s="2" t="s">
        <v>32</v>
      </c>
      <c r="C122" s="3" t="s">
        <v>277</v>
      </c>
      <c r="D122" s="2" t="s">
        <v>39</v>
      </c>
      <c r="E122" s="2" t="s">
        <v>35</v>
      </c>
      <c r="F122" s="3" t="s">
        <v>278</v>
      </c>
      <c r="G122" s="4" t="n">
        <v>46330</v>
      </c>
      <c r="H122" s="2" t="str">
        <f aca="false">TEXT(G122,"ddd")</f>
        <v>Wed</v>
      </c>
      <c r="I122" s="5" t="n">
        <v>0.708333333333333</v>
      </c>
      <c r="J122" s="5" t="n">
        <v>0.791666666666667</v>
      </c>
      <c r="K122" s="6" t="n">
        <f aca="false">ROUND((J122-I122)*24,2)</f>
        <v>2</v>
      </c>
      <c r="L122" s="3" t="s">
        <v>279</v>
      </c>
      <c r="M122" s="2"/>
      <c r="N122" s="2" t="s">
        <v>268</v>
      </c>
      <c r="O122" s="2" t="s">
        <v>22</v>
      </c>
    </row>
    <row r="123" customFormat="false" ht="35.05" hidden="false" customHeight="false" outlineLevel="0" collapsed="false">
      <c r="A123" s="2" t="n">
        <v>107</v>
      </c>
      <c r="B123" s="2" t="s">
        <v>32</v>
      </c>
      <c r="C123" s="3" t="s">
        <v>280</v>
      </c>
      <c r="D123" s="2" t="s">
        <v>49</v>
      </c>
      <c r="E123" s="2" t="s">
        <v>18</v>
      </c>
      <c r="F123" s="3" t="s">
        <v>19</v>
      </c>
      <c r="G123" s="4" t="n">
        <v>46331</v>
      </c>
      <c r="H123" s="2" t="str">
        <f aca="false">TEXT(G123,"ddd")</f>
        <v>Thu</v>
      </c>
      <c r="I123" s="5" t="n">
        <v>0.541666666666667</v>
      </c>
      <c r="J123" s="5" t="n">
        <v>0.583333333333333</v>
      </c>
      <c r="K123" s="6" t="n">
        <f aca="false">ROUND((J123-I123)*24,2)</f>
        <v>1</v>
      </c>
      <c r="L123" s="3" t="s">
        <v>281</v>
      </c>
      <c r="M123" s="2"/>
      <c r="N123" s="2" t="s">
        <v>268</v>
      </c>
      <c r="O123" s="2" t="s">
        <v>22</v>
      </c>
    </row>
    <row r="124" customFormat="false" ht="23.85" hidden="false" customHeight="false" outlineLevel="0" collapsed="false">
      <c r="A124" s="2" t="n">
        <v>108</v>
      </c>
      <c r="B124" s="2" t="s">
        <v>32</v>
      </c>
      <c r="C124" s="3" t="s">
        <v>282</v>
      </c>
      <c r="D124" s="2" t="s">
        <v>64</v>
      </c>
      <c r="E124" s="2" t="s">
        <v>35</v>
      </c>
      <c r="F124" s="3" t="s">
        <v>107</v>
      </c>
      <c r="G124" s="4" t="n">
        <v>46332</v>
      </c>
      <c r="H124" s="2" t="str">
        <f aca="false">TEXT(G124,"ddd")</f>
        <v>Fri</v>
      </c>
      <c r="I124" s="5" t="n">
        <v>0.40625</v>
      </c>
      <c r="J124" s="5" t="n">
        <v>0.541666666666667</v>
      </c>
      <c r="K124" s="6" t="n">
        <f aca="false">ROUND((J124-I124)*24,2)</f>
        <v>3.25</v>
      </c>
      <c r="L124" s="3" t="s">
        <v>254</v>
      </c>
      <c r="M124" s="2"/>
      <c r="N124" s="2" t="s">
        <v>268</v>
      </c>
      <c r="O124" s="2" t="s">
        <v>22</v>
      </c>
    </row>
    <row r="125" customFormat="false" ht="35.05" hidden="false" customHeight="false" outlineLevel="0" collapsed="false">
      <c r="A125" s="2" t="n">
        <v>109</v>
      </c>
      <c r="B125" s="2" t="s">
        <v>32</v>
      </c>
      <c r="C125" s="3" t="s">
        <v>283</v>
      </c>
      <c r="D125" s="2" t="s">
        <v>39</v>
      </c>
      <c r="E125" s="2" t="s">
        <v>75</v>
      </c>
      <c r="F125" s="3" t="s">
        <v>75</v>
      </c>
      <c r="G125" s="4" t="n">
        <v>46333</v>
      </c>
      <c r="H125" s="2" t="str">
        <f aca="false">TEXT(G125,"ddd")</f>
        <v>Sat</v>
      </c>
      <c r="I125" s="5" t="n">
        <v>0.427083333333333</v>
      </c>
      <c r="J125" s="5" t="n">
        <v>0.708333333333333</v>
      </c>
      <c r="K125" s="6" t="n">
        <f aca="false">ROUND((J125-I125)*24,2)</f>
        <v>6.75</v>
      </c>
      <c r="L125" s="3" t="s">
        <v>284</v>
      </c>
      <c r="M125" s="2"/>
      <c r="N125" s="2" t="s">
        <v>268</v>
      </c>
      <c r="O125" s="2" t="s">
        <v>22</v>
      </c>
    </row>
    <row r="126" customFormat="false" ht="23.85" hidden="false" customHeight="false" outlineLevel="0" collapsed="false">
      <c r="A126" s="2" t="n">
        <v>110</v>
      </c>
      <c r="B126" s="2" t="s">
        <v>32</v>
      </c>
      <c r="C126" s="3" t="s">
        <v>285</v>
      </c>
      <c r="D126" s="2" t="s">
        <v>83</v>
      </c>
      <c r="E126" s="2" t="s">
        <v>35</v>
      </c>
      <c r="F126" s="3" t="s">
        <v>85</v>
      </c>
      <c r="G126" s="4" t="n">
        <v>46337</v>
      </c>
      <c r="H126" s="2" t="str">
        <f aca="false">TEXT(G126,"ddd")</f>
        <v>Wed</v>
      </c>
      <c r="I126" s="5" t="n">
        <v>0.53125</v>
      </c>
      <c r="J126" s="5" t="n">
        <v>0.59375</v>
      </c>
      <c r="K126" s="6" t="n">
        <f aca="false">ROUND((J126-I126)*24,2)</f>
        <v>1.5</v>
      </c>
      <c r="L126" s="3" t="s">
        <v>286</v>
      </c>
      <c r="M126" s="2"/>
      <c r="N126" s="2" t="s">
        <v>268</v>
      </c>
      <c r="O126" s="2" t="s">
        <v>22</v>
      </c>
    </row>
    <row r="127" customFormat="false" ht="35.05" hidden="false" customHeight="false" outlineLevel="0" collapsed="false">
      <c r="A127" s="2" t="n">
        <v>111</v>
      </c>
      <c r="B127" s="2" t="s">
        <v>32</v>
      </c>
      <c r="C127" s="3" t="s">
        <v>287</v>
      </c>
      <c r="D127" s="2" t="s">
        <v>39</v>
      </c>
      <c r="E127" s="2" t="s">
        <v>35</v>
      </c>
      <c r="F127" s="3" t="s">
        <v>288</v>
      </c>
      <c r="G127" s="4" t="n">
        <v>46337</v>
      </c>
      <c r="H127" s="2" t="str">
        <f aca="false">TEXT(G127,"ddd")</f>
        <v>Wed</v>
      </c>
      <c r="I127" s="5" t="n">
        <v>0.583333333333333</v>
      </c>
      <c r="J127" s="5" t="n">
        <v>0.708333333333333</v>
      </c>
      <c r="K127" s="6" t="n">
        <f aca="false">ROUND((J127-I127)*24,2)</f>
        <v>3</v>
      </c>
      <c r="L127" s="3" t="s">
        <v>289</v>
      </c>
      <c r="M127" s="2"/>
      <c r="N127" s="2" t="s">
        <v>268</v>
      </c>
      <c r="O127" s="2" t="s">
        <v>22</v>
      </c>
    </row>
    <row r="128" customFormat="false" ht="23.85" hidden="false" customHeight="false" outlineLevel="0" collapsed="false">
      <c r="A128" s="2" t="n">
        <v>112</v>
      </c>
      <c r="B128" s="2" t="s">
        <v>32</v>
      </c>
      <c r="C128" s="3" t="s">
        <v>290</v>
      </c>
      <c r="D128" s="2" t="s">
        <v>39</v>
      </c>
      <c r="E128" s="2" t="s">
        <v>35</v>
      </c>
      <c r="F128" s="3" t="s">
        <v>59</v>
      </c>
      <c r="G128" s="4" t="n">
        <v>46337</v>
      </c>
      <c r="H128" s="2" t="str">
        <f aca="false">TEXT(G128,"ddd")</f>
        <v>Wed</v>
      </c>
      <c r="I128" s="5" t="n">
        <v>0.604166666666667</v>
      </c>
      <c r="J128" s="5" t="n">
        <v>0.6875</v>
      </c>
      <c r="K128" s="6" t="n">
        <f aca="false">ROUND((J128-I128)*24,2)</f>
        <v>2</v>
      </c>
      <c r="L128" s="3" t="s">
        <v>157</v>
      </c>
      <c r="M128" s="2"/>
      <c r="N128" s="2" t="s">
        <v>268</v>
      </c>
      <c r="O128" s="2" t="s">
        <v>22</v>
      </c>
    </row>
    <row r="129" customFormat="false" ht="23.85" hidden="false" customHeight="false" outlineLevel="0" collapsed="false">
      <c r="A129" s="2" t="n">
        <v>113</v>
      </c>
      <c r="B129" s="2" t="s">
        <v>32</v>
      </c>
      <c r="C129" s="3" t="s">
        <v>291</v>
      </c>
      <c r="D129" s="2" t="s">
        <v>190</v>
      </c>
      <c r="E129" s="2" t="s">
        <v>35</v>
      </c>
      <c r="F129" s="3" t="s">
        <v>92</v>
      </c>
      <c r="G129" s="4" t="n">
        <v>46337</v>
      </c>
      <c r="H129" s="2" t="str">
        <f aca="false">TEXT(G129,"ddd")</f>
        <v>Wed</v>
      </c>
      <c r="I129" s="5" t="n">
        <v>0.625</v>
      </c>
      <c r="J129" s="5" t="n">
        <v>0.6875</v>
      </c>
      <c r="K129" s="6" t="n">
        <f aca="false">ROUND((J129-I129)*24,2)</f>
        <v>1.5</v>
      </c>
      <c r="L129" s="3" t="s">
        <v>292</v>
      </c>
      <c r="M129" s="2"/>
      <c r="N129" s="2" t="s">
        <v>268</v>
      </c>
      <c r="O129" s="2" t="s">
        <v>22</v>
      </c>
    </row>
    <row r="130" customFormat="false" ht="23.85" hidden="false" customHeight="false" outlineLevel="0" collapsed="false">
      <c r="A130" s="2" t="n">
        <v>114</v>
      </c>
      <c r="B130" s="2" t="s">
        <v>32</v>
      </c>
      <c r="C130" s="3" t="s">
        <v>130</v>
      </c>
      <c r="D130" s="2" t="s">
        <v>49</v>
      </c>
      <c r="E130" s="2" t="s">
        <v>50</v>
      </c>
      <c r="F130" s="3"/>
      <c r="G130" s="4" t="n">
        <v>46342</v>
      </c>
      <c r="H130" s="2" t="str">
        <f aca="false">TEXT(G130,"ddd")</f>
        <v>Mon</v>
      </c>
      <c r="I130" s="5" t="n">
        <v>0.541666666666667</v>
      </c>
      <c r="J130" s="5" t="n">
        <v>0.583333333333333</v>
      </c>
      <c r="K130" s="6" t="n">
        <f aca="false">ROUND((J130-I130)*24,2)</f>
        <v>1</v>
      </c>
      <c r="L130" s="3" t="s">
        <v>131</v>
      </c>
      <c r="M130" s="2"/>
      <c r="N130" s="2" t="s">
        <v>268</v>
      </c>
      <c r="O130" s="2" t="s">
        <v>22</v>
      </c>
    </row>
    <row r="131" customFormat="false" ht="23.85" hidden="false" customHeight="false" outlineLevel="0" collapsed="false">
      <c r="A131" s="2" t="n">
        <v>115</v>
      </c>
      <c r="B131" s="2" t="s">
        <v>32</v>
      </c>
      <c r="C131" s="3" t="s">
        <v>104</v>
      </c>
      <c r="D131" s="2" t="s">
        <v>49</v>
      </c>
      <c r="E131" s="2" t="s">
        <v>50</v>
      </c>
      <c r="F131" s="3"/>
      <c r="G131" s="4" t="n">
        <v>46343</v>
      </c>
      <c r="H131" s="2" t="str">
        <f aca="false">TEXT(G131,"ddd")</f>
        <v>Tue</v>
      </c>
      <c r="I131" s="5" t="n">
        <v>0.541666666666667</v>
      </c>
      <c r="J131" s="5" t="n">
        <v>0.583333333333333</v>
      </c>
      <c r="K131" s="6" t="n">
        <f aca="false">ROUND((J131-I131)*24,2)</f>
        <v>1</v>
      </c>
      <c r="L131" s="3" t="s">
        <v>105</v>
      </c>
      <c r="M131" s="2"/>
      <c r="N131" s="2" t="s">
        <v>268</v>
      </c>
      <c r="O131" s="2" t="s">
        <v>22</v>
      </c>
    </row>
    <row r="132" customFormat="false" ht="35.05" hidden="false" customHeight="false" outlineLevel="0" collapsed="false">
      <c r="A132" s="2" t="n">
        <v>116</v>
      </c>
      <c r="B132" s="2" t="s">
        <v>32</v>
      </c>
      <c r="C132" s="3" t="s">
        <v>232</v>
      </c>
      <c r="D132" s="2" t="s">
        <v>53</v>
      </c>
      <c r="E132" s="2" t="s">
        <v>18</v>
      </c>
      <c r="F132" s="3" t="s">
        <v>19</v>
      </c>
      <c r="G132" s="4" t="n">
        <v>46343</v>
      </c>
      <c r="H132" s="2" t="str">
        <f aca="false">TEXT(G132,"ddd")</f>
        <v>Tue</v>
      </c>
      <c r="I132" s="5" t="n">
        <v>0.708333333333333</v>
      </c>
      <c r="J132" s="5" t="n">
        <v>0.75</v>
      </c>
      <c r="K132" s="6" t="n">
        <f aca="false">ROUND((J132-I132)*24,2)</f>
        <v>1</v>
      </c>
      <c r="L132" s="3" t="s">
        <v>233</v>
      </c>
      <c r="M132" s="2"/>
      <c r="N132" s="2" t="s">
        <v>268</v>
      </c>
      <c r="O132" s="2" t="s">
        <v>22</v>
      </c>
    </row>
    <row r="133" customFormat="false" ht="23.85" hidden="false" customHeight="false" outlineLevel="0" collapsed="false">
      <c r="A133" s="2" t="n">
        <v>117</v>
      </c>
      <c r="B133" s="2" t="s">
        <v>32</v>
      </c>
      <c r="C133" s="3" t="s">
        <v>293</v>
      </c>
      <c r="D133" s="2" t="s">
        <v>39</v>
      </c>
      <c r="E133" s="2" t="s">
        <v>35</v>
      </c>
      <c r="F133" s="3" t="s">
        <v>294</v>
      </c>
      <c r="G133" s="4" t="n">
        <v>46343</v>
      </c>
      <c r="H133" s="2" t="str">
        <f aca="false">TEXT(G133,"ddd")</f>
        <v>Tue</v>
      </c>
      <c r="I133" s="5" t="n">
        <v>0.708333333333333</v>
      </c>
      <c r="J133" s="5" t="n">
        <v>0.791666666666667</v>
      </c>
      <c r="K133" s="6" t="n">
        <f aca="false">ROUND((J133-I133)*24,2)</f>
        <v>2</v>
      </c>
      <c r="L133" s="3" t="s">
        <v>295</v>
      </c>
      <c r="M133" s="2"/>
      <c r="N133" s="2" t="s">
        <v>268</v>
      </c>
      <c r="O133" s="2" t="s">
        <v>22</v>
      </c>
    </row>
    <row r="134" customFormat="false" ht="35.05" hidden="false" customHeight="false" outlineLevel="0" collapsed="false">
      <c r="A134" s="2" t="n">
        <v>118</v>
      </c>
      <c r="B134" s="2" t="s">
        <v>32</v>
      </c>
      <c r="C134" s="3" t="s">
        <v>296</v>
      </c>
      <c r="D134" s="2" t="s">
        <v>39</v>
      </c>
      <c r="E134" s="2" t="s">
        <v>18</v>
      </c>
      <c r="F134" s="3" t="s">
        <v>19</v>
      </c>
      <c r="G134" s="4" t="n">
        <v>46344</v>
      </c>
      <c r="H134" s="2" t="str">
        <f aca="false">TEXT(G134,"ddd")</f>
        <v>Wed</v>
      </c>
      <c r="I134" s="5" t="n">
        <v>0.5</v>
      </c>
      <c r="J134" s="5" t="n">
        <v>0.541666666666667</v>
      </c>
      <c r="K134" s="6" t="n">
        <f aca="false">ROUND((J134-I134)*24,2)</f>
        <v>1</v>
      </c>
      <c r="L134" s="3" t="s">
        <v>297</v>
      </c>
      <c r="M134" s="2" t="s">
        <v>151</v>
      </c>
      <c r="N134" s="2" t="s">
        <v>268</v>
      </c>
      <c r="O134" s="2" t="s">
        <v>22</v>
      </c>
    </row>
    <row r="135" customFormat="false" ht="35.05" hidden="false" customHeight="false" outlineLevel="0" collapsed="false">
      <c r="A135" s="2" t="n">
        <v>119</v>
      </c>
      <c r="B135" s="2" t="s">
        <v>32</v>
      </c>
      <c r="C135" s="3" t="s">
        <v>298</v>
      </c>
      <c r="D135" s="2" t="s">
        <v>45</v>
      </c>
      <c r="E135" s="2" t="s">
        <v>35</v>
      </c>
      <c r="F135" s="3" t="s">
        <v>46</v>
      </c>
      <c r="G135" s="4" t="n">
        <v>46344</v>
      </c>
      <c r="H135" s="2" t="str">
        <f aca="false">TEXT(G135,"ddd")</f>
        <v>Wed</v>
      </c>
      <c r="I135" s="5" t="n">
        <v>0.541666666666667</v>
      </c>
      <c r="J135" s="5" t="n">
        <v>0.576388888888889</v>
      </c>
      <c r="K135" s="6" t="n">
        <f aca="false">ROUND((J135-I135)*24,2)</f>
        <v>0.83</v>
      </c>
      <c r="L135" s="3" t="s">
        <v>299</v>
      </c>
      <c r="M135" s="2"/>
      <c r="N135" s="2" t="s">
        <v>268</v>
      </c>
      <c r="O135" s="2" t="s">
        <v>22</v>
      </c>
    </row>
    <row r="136" customFormat="false" ht="15" hidden="false" customHeight="false" outlineLevel="0" collapsed="false">
      <c r="A136" s="2" t="n">
        <v>120</v>
      </c>
      <c r="B136" s="2" t="s">
        <v>32</v>
      </c>
      <c r="C136" s="3" t="s">
        <v>300</v>
      </c>
      <c r="D136" s="2" t="s">
        <v>190</v>
      </c>
      <c r="E136" s="2" t="s">
        <v>35</v>
      </c>
      <c r="F136" s="3" t="s">
        <v>110</v>
      </c>
      <c r="G136" s="4" t="n">
        <v>46344</v>
      </c>
      <c r="H136" s="2" t="str">
        <f aca="false">TEXT(G136,"ddd")</f>
        <v>Wed</v>
      </c>
      <c r="I136" s="5" t="n">
        <v>0.625</v>
      </c>
      <c r="J136" s="5" t="n">
        <v>0.708333333333333</v>
      </c>
      <c r="K136" s="6" t="n">
        <f aca="false">ROUND((J136-I136)*24,2)</f>
        <v>2</v>
      </c>
      <c r="L136" s="3" t="s">
        <v>301</v>
      </c>
      <c r="M136" s="2"/>
      <c r="N136" s="2" t="s">
        <v>268</v>
      </c>
      <c r="O136" s="2" t="s">
        <v>22</v>
      </c>
    </row>
    <row r="137" customFormat="false" ht="23.85" hidden="false" customHeight="false" outlineLevel="0" collapsed="false">
      <c r="A137" s="2" t="n">
        <v>121</v>
      </c>
      <c r="B137" s="2" t="s">
        <v>32</v>
      </c>
      <c r="C137" s="3" t="s">
        <v>44</v>
      </c>
      <c r="D137" s="2" t="s">
        <v>45</v>
      </c>
      <c r="E137" s="2" t="s">
        <v>50</v>
      </c>
      <c r="F137" s="3"/>
      <c r="G137" s="4" t="n">
        <v>46345</v>
      </c>
      <c r="H137" s="2" t="str">
        <f aca="false">TEXT(G137,"ddd")</f>
        <v>Thu</v>
      </c>
      <c r="I137" s="5" t="n">
        <v>0.541666666666667</v>
      </c>
      <c r="J137" s="5" t="n">
        <v>0.576388888888889</v>
      </c>
      <c r="K137" s="6" t="n">
        <f aca="false">ROUND((J137-I137)*24,2)</f>
        <v>0.83</v>
      </c>
      <c r="L137" s="3" t="s">
        <v>47</v>
      </c>
      <c r="M137" s="2"/>
      <c r="N137" s="2" t="s">
        <v>268</v>
      </c>
      <c r="O137" s="2" t="s">
        <v>22</v>
      </c>
    </row>
    <row r="138" customFormat="false" ht="23.85" hidden="false" customHeight="false" outlineLevel="0" collapsed="false">
      <c r="A138" s="2" t="n">
        <v>122</v>
      </c>
      <c r="B138" s="2" t="s">
        <v>32</v>
      </c>
      <c r="C138" s="3" t="s">
        <v>184</v>
      </c>
      <c r="D138" s="2" t="s">
        <v>49</v>
      </c>
      <c r="E138" s="2" t="s">
        <v>50</v>
      </c>
      <c r="F138" s="3"/>
      <c r="G138" s="4" t="n">
        <v>46345</v>
      </c>
      <c r="H138" s="2" t="str">
        <f aca="false">TEXT(G138,"ddd")</f>
        <v>Thu</v>
      </c>
      <c r="I138" s="5" t="n">
        <v>0.541666666666667</v>
      </c>
      <c r="J138" s="5" t="n">
        <v>0.583333333333333</v>
      </c>
      <c r="K138" s="6" t="n">
        <f aca="false">ROUND((J138-I138)*24,2)</f>
        <v>1</v>
      </c>
      <c r="L138" s="3" t="s">
        <v>185</v>
      </c>
      <c r="M138" s="2"/>
      <c r="N138" s="2" t="s">
        <v>268</v>
      </c>
      <c r="O138" s="2" t="s">
        <v>22</v>
      </c>
    </row>
    <row r="139" customFormat="false" ht="23.85" hidden="false" customHeight="false" outlineLevel="0" collapsed="false">
      <c r="A139" s="2" t="n">
        <v>123</v>
      </c>
      <c r="B139" s="2" t="s">
        <v>32</v>
      </c>
      <c r="C139" s="3" t="s">
        <v>302</v>
      </c>
      <c r="D139" s="2" t="s">
        <v>49</v>
      </c>
      <c r="E139" s="2" t="s">
        <v>35</v>
      </c>
      <c r="F139" s="3" t="s">
        <v>46</v>
      </c>
      <c r="G139" s="4" t="n">
        <v>46346</v>
      </c>
      <c r="H139" s="2" t="str">
        <f aca="false">TEXT(G139,"ddd")</f>
        <v>Fri</v>
      </c>
      <c r="I139" s="5" t="n">
        <v>0.583333333333333</v>
      </c>
      <c r="J139" s="5" t="n">
        <v>0.666666666666667</v>
      </c>
      <c r="K139" s="6" t="n">
        <f aca="false">ROUND((J139-I139)*24,2)</f>
        <v>2</v>
      </c>
      <c r="L139" s="3" t="s">
        <v>303</v>
      </c>
      <c r="M139" s="2"/>
      <c r="N139" s="2" t="s">
        <v>268</v>
      </c>
      <c r="O139" s="2" t="s">
        <v>22</v>
      </c>
    </row>
    <row r="140" customFormat="false" ht="23.85" hidden="false" customHeight="false" outlineLevel="0" collapsed="false">
      <c r="A140" s="2" t="n">
        <v>124</v>
      </c>
      <c r="B140" s="2" t="s">
        <v>32</v>
      </c>
      <c r="C140" s="3" t="s">
        <v>66</v>
      </c>
      <c r="D140" s="2" t="s">
        <v>45</v>
      </c>
      <c r="E140" s="2" t="s">
        <v>50</v>
      </c>
      <c r="F140" s="3"/>
      <c r="G140" s="4" t="n">
        <v>46349</v>
      </c>
      <c r="H140" s="2" t="str">
        <f aca="false">TEXT(G140,"ddd")</f>
        <v>Mon</v>
      </c>
      <c r="I140" s="5" t="n">
        <v>0.541666666666667</v>
      </c>
      <c r="J140" s="5" t="n">
        <v>0.576388888888889</v>
      </c>
      <c r="K140" s="6" t="n">
        <f aca="false">ROUND((J140-I140)*24,2)</f>
        <v>0.83</v>
      </c>
      <c r="L140" s="3" t="s">
        <v>67</v>
      </c>
      <c r="M140" s="2"/>
      <c r="N140" s="2" t="s">
        <v>268</v>
      </c>
      <c r="O140" s="2" t="s">
        <v>22</v>
      </c>
    </row>
    <row r="141" customFormat="false" ht="23.85" hidden="false" customHeight="false" outlineLevel="0" collapsed="false">
      <c r="A141" s="2" t="n">
        <v>125</v>
      </c>
      <c r="B141" s="2" t="s">
        <v>32</v>
      </c>
      <c r="C141" s="3" t="s">
        <v>96</v>
      </c>
      <c r="D141" s="2" t="s">
        <v>49</v>
      </c>
      <c r="E141" s="2" t="s">
        <v>18</v>
      </c>
      <c r="F141" s="3" t="s">
        <v>19</v>
      </c>
      <c r="G141" s="4" t="n">
        <v>46349</v>
      </c>
      <c r="H141" s="2" t="str">
        <f aca="false">TEXT(G141,"ddd")</f>
        <v>Mon</v>
      </c>
      <c r="I141" s="5" t="n">
        <v>0.541666666666667</v>
      </c>
      <c r="J141" s="5" t="n">
        <v>0.583333333333333</v>
      </c>
      <c r="K141" s="6" t="n">
        <f aca="false">ROUND((J141-I141)*24,2)</f>
        <v>1</v>
      </c>
      <c r="L141" s="3" t="s">
        <v>97</v>
      </c>
      <c r="M141" s="2"/>
      <c r="N141" s="2" t="s">
        <v>268</v>
      </c>
      <c r="O141" s="2" t="s">
        <v>22</v>
      </c>
    </row>
    <row r="142" customFormat="false" ht="35.05" hidden="false" customHeight="false" outlineLevel="0" collapsed="false">
      <c r="A142" s="2" t="n">
        <v>126</v>
      </c>
      <c r="B142" s="2" t="s">
        <v>32</v>
      </c>
      <c r="C142" s="3" t="s">
        <v>193</v>
      </c>
      <c r="D142" s="2" t="s">
        <v>53</v>
      </c>
      <c r="E142" s="2" t="s">
        <v>18</v>
      </c>
      <c r="F142" s="3" t="s">
        <v>19</v>
      </c>
      <c r="G142" s="4" t="n">
        <v>46350</v>
      </c>
      <c r="H142" s="2" t="str">
        <f aca="false">TEXT(G142,"ddd")</f>
        <v>Tue</v>
      </c>
      <c r="I142" s="5" t="n">
        <v>0.541666666666667</v>
      </c>
      <c r="J142" s="5" t="n">
        <v>0.583333333333333</v>
      </c>
      <c r="K142" s="6" t="n">
        <f aca="false">ROUND((J142-I142)*24,2)</f>
        <v>1</v>
      </c>
      <c r="L142" s="3" t="s">
        <v>194</v>
      </c>
      <c r="M142" s="2"/>
      <c r="N142" s="2" t="s">
        <v>268</v>
      </c>
      <c r="O142" s="2" t="s">
        <v>22</v>
      </c>
    </row>
    <row r="143" customFormat="false" ht="23.85" hidden="false" customHeight="false" outlineLevel="0" collapsed="false">
      <c r="A143" s="2" t="n">
        <v>127</v>
      </c>
      <c r="B143" s="2" t="s">
        <v>32</v>
      </c>
      <c r="C143" s="3" t="s">
        <v>304</v>
      </c>
      <c r="D143" s="2" t="s">
        <v>49</v>
      </c>
      <c r="E143" s="2" t="s">
        <v>50</v>
      </c>
      <c r="F143" s="3"/>
      <c r="G143" s="4" t="n">
        <v>46351</v>
      </c>
      <c r="H143" s="2" t="str">
        <f aca="false">TEXT(G143,"ddd")</f>
        <v>Wed</v>
      </c>
      <c r="I143" s="5" t="n">
        <v>0.541666666666667</v>
      </c>
      <c r="J143" s="5" t="n">
        <v>0.583333333333333</v>
      </c>
      <c r="K143" s="6" t="n">
        <f aca="false">ROUND((J143-I143)*24,2)</f>
        <v>1</v>
      </c>
      <c r="L143" s="3" t="s">
        <v>305</v>
      </c>
      <c r="M143" s="2"/>
      <c r="N143" s="2" t="s">
        <v>268</v>
      </c>
      <c r="O143" s="2" t="s">
        <v>22</v>
      </c>
    </row>
    <row r="144" customFormat="false" ht="15" hidden="false" customHeight="false" outlineLevel="0" collapsed="false">
      <c r="A144" s="2" t="n">
        <v>128</v>
      </c>
      <c r="B144" s="2" t="s">
        <v>32</v>
      </c>
      <c r="C144" s="3" t="s">
        <v>306</v>
      </c>
      <c r="D144" s="2" t="s">
        <v>190</v>
      </c>
      <c r="E144" s="2" t="s">
        <v>18</v>
      </c>
      <c r="F144" s="3" t="s">
        <v>19</v>
      </c>
      <c r="G144" s="4" t="n">
        <v>46351</v>
      </c>
      <c r="H144" s="2" t="str">
        <f aca="false">TEXT(G144,"ddd")</f>
        <v>Wed</v>
      </c>
      <c r="I144" s="5" t="n">
        <v>0.583333333333333</v>
      </c>
      <c r="J144" s="5" t="n">
        <v>0.625</v>
      </c>
      <c r="K144" s="6" t="n">
        <f aca="false">ROUND((J144-I144)*24,2)</f>
        <v>1</v>
      </c>
      <c r="L144" s="3" t="s">
        <v>307</v>
      </c>
      <c r="M144" s="2"/>
      <c r="N144" s="2" t="s">
        <v>268</v>
      </c>
      <c r="O144" s="2" t="s">
        <v>22</v>
      </c>
    </row>
    <row r="145" customFormat="false" ht="23.85" hidden="false" customHeight="false" outlineLevel="0" collapsed="false">
      <c r="A145" s="2" t="n">
        <v>129</v>
      </c>
      <c r="B145" s="2" t="s">
        <v>32</v>
      </c>
      <c r="C145" s="3" t="s">
        <v>48</v>
      </c>
      <c r="D145" s="2" t="s">
        <v>49</v>
      </c>
      <c r="E145" s="2" t="s">
        <v>50</v>
      </c>
      <c r="F145" s="3"/>
      <c r="G145" s="4" t="n">
        <v>46352</v>
      </c>
      <c r="H145" s="2" t="str">
        <f aca="false">TEXT(G145,"ddd")</f>
        <v>Thu</v>
      </c>
      <c r="I145" s="5" t="n">
        <v>0.541666666666667</v>
      </c>
      <c r="J145" s="5" t="n">
        <v>0.583333333333333</v>
      </c>
      <c r="K145" s="6" t="n">
        <f aca="false">ROUND((J145-I145)*24,2)</f>
        <v>1</v>
      </c>
      <c r="L145" s="3" t="s">
        <v>51</v>
      </c>
      <c r="M145" s="2"/>
      <c r="N145" s="2" t="s">
        <v>268</v>
      </c>
      <c r="O145" s="2" t="s">
        <v>22</v>
      </c>
    </row>
    <row r="146" customFormat="false" ht="23.85" hidden="false" customHeight="false" outlineLevel="0" collapsed="false">
      <c r="A146" s="2" t="n">
        <v>130</v>
      </c>
      <c r="B146" s="2" t="s">
        <v>32</v>
      </c>
      <c r="C146" s="3" t="s">
        <v>308</v>
      </c>
      <c r="D146" s="2" t="s">
        <v>64</v>
      </c>
      <c r="E146" s="2" t="s">
        <v>18</v>
      </c>
      <c r="F146" s="3" t="s">
        <v>19</v>
      </c>
      <c r="G146" s="4" t="n">
        <v>46352</v>
      </c>
      <c r="H146" s="2" t="str">
        <f aca="false">TEXT(G146,"ddd")</f>
        <v>Thu</v>
      </c>
      <c r="I146" s="5" t="n">
        <v>0.708333333333333</v>
      </c>
      <c r="J146" s="5" t="n">
        <v>0.770833333333333</v>
      </c>
      <c r="K146" s="6" t="n">
        <f aca="false">ROUND((J146-I146)*24,2)</f>
        <v>1.5</v>
      </c>
      <c r="L146" s="3" t="s">
        <v>309</v>
      </c>
      <c r="M146" s="2"/>
      <c r="N146" s="2" t="s">
        <v>268</v>
      </c>
      <c r="O146" s="2" t="s">
        <v>22</v>
      </c>
    </row>
    <row r="147" customFormat="false" ht="23.85" hidden="false" customHeight="false" outlineLevel="0" collapsed="false">
      <c r="A147" s="2" t="n">
        <v>131</v>
      </c>
      <c r="B147" s="2" t="s">
        <v>32</v>
      </c>
      <c r="C147" s="3" t="s">
        <v>253</v>
      </c>
      <c r="D147" s="2" t="s">
        <v>64</v>
      </c>
      <c r="E147" s="2" t="s">
        <v>18</v>
      </c>
      <c r="F147" s="3" t="s">
        <v>19</v>
      </c>
      <c r="G147" s="4" t="n">
        <v>46353</v>
      </c>
      <c r="H147" s="2" t="str">
        <f aca="false">TEXT(G147,"ddd")</f>
        <v>Fri</v>
      </c>
      <c r="I147" s="5" t="n">
        <v>0.40625</v>
      </c>
      <c r="J147" s="5" t="n">
        <v>0.541666666666667</v>
      </c>
      <c r="K147" s="6" t="n">
        <f aca="false">ROUND((J147-I147)*24,2)</f>
        <v>3.25</v>
      </c>
      <c r="L147" s="3" t="s">
        <v>254</v>
      </c>
      <c r="M147" s="2" t="s">
        <v>255</v>
      </c>
      <c r="N147" s="2" t="s">
        <v>268</v>
      </c>
      <c r="O147" s="2" t="s">
        <v>22</v>
      </c>
    </row>
    <row r="148" customFormat="false" ht="23.85" hidden="false" customHeight="false" outlineLevel="0" collapsed="false">
      <c r="A148" s="2" t="n">
        <v>132</v>
      </c>
      <c r="B148" s="2" t="s">
        <v>32</v>
      </c>
      <c r="C148" s="3" t="s">
        <v>310</v>
      </c>
      <c r="D148" s="2" t="s">
        <v>64</v>
      </c>
      <c r="E148" s="2" t="s">
        <v>35</v>
      </c>
      <c r="F148" s="3" t="s">
        <v>107</v>
      </c>
      <c r="G148" s="4" t="n">
        <v>46353</v>
      </c>
      <c r="H148" s="2" t="str">
        <f aca="false">TEXT(G148,"ddd")</f>
        <v>Fri</v>
      </c>
      <c r="I148" s="5" t="n">
        <v>0.583333333333333</v>
      </c>
      <c r="J148" s="5" t="n">
        <v>0.701388888888889</v>
      </c>
      <c r="K148" s="6" t="n">
        <f aca="false">ROUND((J148-I148)*24,2)</f>
        <v>2.83</v>
      </c>
      <c r="L148" s="3" t="s">
        <v>108</v>
      </c>
      <c r="M148" s="2" t="s">
        <v>311</v>
      </c>
      <c r="N148" s="2" t="s">
        <v>268</v>
      </c>
      <c r="O148" s="2" t="s">
        <v>22</v>
      </c>
    </row>
    <row r="149" customFormat="false" ht="35.05" hidden="false" customHeight="false" outlineLevel="0" collapsed="false">
      <c r="A149" s="2" t="n">
        <v>133</v>
      </c>
      <c r="B149" s="2" t="s">
        <v>32</v>
      </c>
      <c r="C149" s="3" t="s">
        <v>312</v>
      </c>
      <c r="D149" s="2" t="s">
        <v>53</v>
      </c>
      <c r="E149" s="2" t="s">
        <v>50</v>
      </c>
      <c r="F149" s="3"/>
      <c r="G149" s="4" t="n">
        <v>46353</v>
      </c>
      <c r="H149" s="2" t="str">
        <f aca="false">TEXT(G149,"ddd")</f>
        <v>Fri</v>
      </c>
      <c r="I149" s="5" t="n">
        <v>0.729166666666667</v>
      </c>
      <c r="J149" s="5" t="n">
        <v>0.770833333333333</v>
      </c>
      <c r="K149" s="6" t="n">
        <f aca="false">ROUND((J149-I149)*24,2)</f>
        <v>1</v>
      </c>
      <c r="L149" s="3" t="s">
        <v>313</v>
      </c>
      <c r="M149" s="2"/>
      <c r="N149" s="2" t="s">
        <v>268</v>
      </c>
      <c r="O149" s="2" t="s">
        <v>22</v>
      </c>
    </row>
    <row r="150" customFormat="false" ht="23.85" hidden="false" customHeight="false" outlineLevel="0" collapsed="false">
      <c r="A150" s="2" t="n">
        <v>134</v>
      </c>
      <c r="B150" s="2" t="s">
        <v>32</v>
      </c>
      <c r="C150" s="3" t="s">
        <v>314</v>
      </c>
      <c r="D150" s="2" t="s">
        <v>49</v>
      </c>
      <c r="E150" s="2" t="s">
        <v>50</v>
      </c>
      <c r="F150" s="3"/>
      <c r="G150" s="4" t="n">
        <v>46356</v>
      </c>
      <c r="H150" s="2" t="str">
        <f aca="false">TEXT(G150,"ddd")</f>
        <v>Mon</v>
      </c>
      <c r="I150" s="5" t="n">
        <v>0.541666666666667</v>
      </c>
      <c r="J150" s="5" t="n">
        <v>0.583333333333333</v>
      </c>
      <c r="K150" s="6" t="n">
        <f aca="false">ROUND((J150-I150)*24,2)</f>
        <v>1</v>
      </c>
      <c r="L150" s="3" t="s">
        <v>315</v>
      </c>
      <c r="M150" s="2"/>
      <c r="N150" s="2" t="s">
        <v>268</v>
      </c>
      <c r="O150" s="2" t="s">
        <v>22</v>
      </c>
    </row>
    <row r="151" customFormat="false" ht="35.05" hidden="false" customHeight="false" outlineLevel="0" collapsed="false">
      <c r="A151" s="2" t="n">
        <v>135</v>
      </c>
      <c r="B151" s="2" t="s">
        <v>32</v>
      </c>
      <c r="C151" s="3" t="s">
        <v>161</v>
      </c>
      <c r="D151" s="2" t="s">
        <v>45</v>
      </c>
      <c r="E151" s="2" t="s">
        <v>35</v>
      </c>
      <c r="F151" s="3" t="s">
        <v>46</v>
      </c>
      <c r="G151" s="4" t="n">
        <v>46357</v>
      </c>
      <c r="H151" s="2" t="str">
        <f aca="false">TEXT(G151,"ddd")</f>
        <v>Tue</v>
      </c>
      <c r="I151" s="5" t="n">
        <v>0.541666666666667</v>
      </c>
      <c r="J151" s="5" t="n">
        <v>0.576388888888889</v>
      </c>
      <c r="K151" s="6" t="n">
        <f aca="false">ROUND((J151-I151)*24,2)</f>
        <v>0.83</v>
      </c>
      <c r="L151" s="3" t="s">
        <v>162</v>
      </c>
      <c r="M151" s="2"/>
      <c r="N151" s="2" t="s">
        <v>268</v>
      </c>
      <c r="O151" s="2" t="s">
        <v>22</v>
      </c>
    </row>
    <row r="152" customFormat="false" ht="35.05" hidden="false" customHeight="false" outlineLevel="0" collapsed="false">
      <c r="A152" s="2" t="n">
        <v>136</v>
      </c>
      <c r="B152" s="2" t="s">
        <v>32</v>
      </c>
      <c r="C152" s="3" t="s">
        <v>316</v>
      </c>
      <c r="D152" s="2" t="s">
        <v>53</v>
      </c>
      <c r="E152" s="2" t="s">
        <v>18</v>
      </c>
      <c r="F152" s="3" t="s">
        <v>19</v>
      </c>
      <c r="G152" s="4" t="n">
        <v>46357</v>
      </c>
      <c r="H152" s="2" t="str">
        <f aca="false">TEXT(G152,"ddd")</f>
        <v>Tue</v>
      </c>
      <c r="I152" s="5" t="n">
        <v>0.541666666666667</v>
      </c>
      <c r="J152" s="5" t="n">
        <v>0.583333333333333</v>
      </c>
      <c r="K152" s="6" t="n">
        <f aca="false">ROUND((J152-I152)*24,2)</f>
        <v>1</v>
      </c>
      <c r="L152" s="3" t="s">
        <v>54</v>
      </c>
      <c r="M152" s="2"/>
      <c r="N152" s="2" t="s">
        <v>268</v>
      </c>
      <c r="O152" s="2" t="s">
        <v>22</v>
      </c>
    </row>
    <row r="153" customFormat="false" ht="23.85" hidden="false" customHeight="false" outlineLevel="0" collapsed="false">
      <c r="A153" s="2" t="n">
        <v>137</v>
      </c>
      <c r="B153" s="2" t="s">
        <v>32</v>
      </c>
      <c r="C153" s="3" t="s">
        <v>317</v>
      </c>
      <c r="D153" s="2" t="s">
        <v>49</v>
      </c>
      <c r="E153" s="2" t="s">
        <v>50</v>
      </c>
      <c r="F153" s="3"/>
      <c r="G153" s="4" t="n">
        <v>46357</v>
      </c>
      <c r="H153" s="2" t="str">
        <f aca="false">TEXT(G153,"ddd")</f>
        <v>Tue</v>
      </c>
      <c r="I153" s="5" t="n">
        <v>0.541666666666667</v>
      </c>
      <c r="J153" s="5" t="n">
        <v>0.583333333333333</v>
      </c>
      <c r="K153" s="6" t="n">
        <f aca="false">ROUND((J153-I153)*24,2)</f>
        <v>1</v>
      </c>
      <c r="L153" s="3" t="s">
        <v>219</v>
      </c>
      <c r="M153" s="2"/>
      <c r="N153" s="2" t="s">
        <v>268</v>
      </c>
      <c r="O153" s="2" t="s">
        <v>22</v>
      </c>
    </row>
    <row r="154" customFormat="false" ht="23.85" hidden="false" customHeight="false" outlineLevel="0" collapsed="false">
      <c r="A154" s="2" t="n">
        <v>138</v>
      </c>
      <c r="B154" s="2" t="s">
        <v>32</v>
      </c>
      <c r="C154" s="3" t="s">
        <v>318</v>
      </c>
      <c r="D154" s="2" t="s">
        <v>64</v>
      </c>
      <c r="E154" s="2" t="s">
        <v>35</v>
      </c>
      <c r="F154" s="3" t="s">
        <v>46</v>
      </c>
      <c r="G154" s="4" t="n">
        <v>46358</v>
      </c>
      <c r="H154" s="2" t="str">
        <f aca="false">TEXT(G154,"ddd")</f>
        <v>Wed</v>
      </c>
      <c r="I154" s="5" t="n">
        <v>0.541666666666667</v>
      </c>
      <c r="J154" s="5" t="n">
        <v>0.604166666666667</v>
      </c>
      <c r="K154" s="6" t="n">
        <f aca="false">ROUND((J154-I154)*24,2)</f>
        <v>1.5</v>
      </c>
      <c r="L154" s="3" t="s">
        <v>319</v>
      </c>
      <c r="M154" s="2"/>
      <c r="N154" s="2" t="s">
        <v>268</v>
      </c>
      <c r="O154" s="2" t="s">
        <v>22</v>
      </c>
    </row>
    <row r="155" customFormat="false" ht="23.85" hidden="false" customHeight="false" outlineLevel="0" collapsed="false">
      <c r="A155" s="2" t="n">
        <v>139</v>
      </c>
      <c r="B155" s="2" t="s">
        <v>32</v>
      </c>
      <c r="C155" s="3" t="s">
        <v>44</v>
      </c>
      <c r="D155" s="2" t="s">
        <v>45</v>
      </c>
      <c r="E155" s="2" t="s">
        <v>50</v>
      </c>
      <c r="F155" s="3"/>
      <c r="G155" s="4" t="n">
        <v>46359</v>
      </c>
      <c r="H155" s="2" t="str">
        <f aca="false">TEXT(G155,"ddd")</f>
        <v>Thu</v>
      </c>
      <c r="I155" s="5" t="n">
        <v>0.541666666666667</v>
      </c>
      <c r="J155" s="5" t="n">
        <v>0.576388888888889</v>
      </c>
      <c r="K155" s="6" t="n">
        <f aca="false">ROUND((J155-I155)*24,2)</f>
        <v>0.83</v>
      </c>
      <c r="L155" s="3" t="s">
        <v>47</v>
      </c>
      <c r="M155" s="2"/>
      <c r="N155" s="2" t="s">
        <v>268</v>
      </c>
      <c r="O155" s="2" t="s">
        <v>22</v>
      </c>
    </row>
    <row r="156" customFormat="false" ht="23.85" hidden="false" customHeight="false" outlineLevel="0" collapsed="false">
      <c r="A156" s="2" t="n">
        <v>140</v>
      </c>
      <c r="B156" s="2" t="s">
        <v>32</v>
      </c>
      <c r="C156" s="3" t="s">
        <v>320</v>
      </c>
      <c r="D156" s="2" t="s">
        <v>49</v>
      </c>
      <c r="E156" s="2" t="s">
        <v>18</v>
      </c>
      <c r="F156" s="3" t="s">
        <v>19</v>
      </c>
      <c r="G156" s="4" t="n">
        <v>46359</v>
      </c>
      <c r="H156" s="2" t="str">
        <f aca="false">TEXT(G156,"ddd")</f>
        <v>Thu</v>
      </c>
      <c r="I156" s="5" t="n">
        <v>0.541666666666667</v>
      </c>
      <c r="J156" s="5" t="n">
        <v>0.583333333333333</v>
      </c>
      <c r="K156" s="6" t="n">
        <f aca="false">ROUND((J156-I156)*24,2)</f>
        <v>1</v>
      </c>
      <c r="L156" s="3" t="s">
        <v>321</v>
      </c>
      <c r="M156" s="2"/>
      <c r="N156" s="2" t="s">
        <v>268</v>
      </c>
      <c r="O156" s="2" t="s">
        <v>22</v>
      </c>
    </row>
    <row r="157" customFormat="false" ht="23.85" hidden="false" customHeight="false" outlineLevel="0" collapsed="false">
      <c r="A157" s="2" t="n">
        <v>141</v>
      </c>
      <c r="B157" s="2" t="s">
        <v>32</v>
      </c>
      <c r="C157" s="3" t="s">
        <v>241</v>
      </c>
      <c r="D157" s="2" t="s">
        <v>49</v>
      </c>
      <c r="E157" s="2" t="s">
        <v>50</v>
      </c>
      <c r="F157" s="3"/>
      <c r="G157" s="4" t="n">
        <v>46364</v>
      </c>
      <c r="H157" s="2" t="str">
        <f aca="false">TEXT(G157,"ddd")</f>
        <v>Tue</v>
      </c>
      <c r="I157" s="5" t="n">
        <v>0.541666666666667</v>
      </c>
      <c r="J157" s="5" t="n">
        <v>0.583333333333333</v>
      </c>
      <c r="K157" s="6" t="n">
        <f aca="false">ROUND((J157-I157)*24,2)</f>
        <v>1</v>
      </c>
      <c r="L157" s="3" t="s">
        <v>242</v>
      </c>
      <c r="M157" s="2"/>
      <c r="N157" s="2" t="s">
        <v>268</v>
      </c>
      <c r="O157" s="2" t="s">
        <v>22</v>
      </c>
    </row>
    <row r="158" customFormat="false" ht="35.05" hidden="false" customHeight="false" outlineLevel="0" collapsed="false">
      <c r="A158" s="2" t="n">
        <v>142</v>
      </c>
      <c r="B158" s="2" t="s">
        <v>32</v>
      </c>
      <c r="C158" s="3" t="s">
        <v>298</v>
      </c>
      <c r="D158" s="2" t="s">
        <v>45</v>
      </c>
      <c r="E158" s="2" t="s">
        <v>35</v>
      </c>
      <c r="F158" s="3" t="s">
        <v>46</v>
      </c>
      <c r="G158" s="4" t="n">
        <v>46365</v>
      </c>
      <c r="H158" s="2" t="str">
        <f aca="false">TEXT(G158,"ddd")</f>
        <v>Wed</v>
      </c>
      <c r="I158" s="5" t="n">
        <v>0.541666666666667</v>
      </c>
      <c r="J158" s="5" t="n">
        <v>0.576388888888889</v>
      </c>
      <c r="K158" s="6" t="n">
        <f aca="false">ROUND((J158-I158)*24,2)</f>
        <v>0.83</v>
      </c>
      <c r="L158" s="3" t="s">
        <v>299</v>
      </c>
      <c r="M158" s="2"/>
      <c r="N158" s="2" t="s">
        <v>268</v>
      </c>
      <c r="O158" s="2" t="s">
        <v>22</v>
      </c>
    </row>
    <row r="159" customFormat="false" ht="23.85" hidden="false" customHeight="false" outlineLevel="0" collapsed="false">
      <c r="A159" s="2" t="n">
        <v>143</v>
      </c>
      <c r="B159" s="2" t="s">
        <v>32</v>
      </c>
      <c r="C159" s="3" t="s">
        <v>121</v>
      </c>
      <c r="D159" s="2" t="s">
        <v>45</v>
      </c>
      <c r="E159" s="2" t="s">
        <v>50</v>
      </c>
      <c r="F159" s="3"/>
      <c r="G159" s="4" t="n">
        <v>46366</v>
      </c>
      <c r="H159" s="2" t="str">
        <f aca="false">TEXT(G159,"ddd")</f>
        <v>Thu</v>
      </c>
      <c r="I159" s="5" t="n">
        <v>0.541666666666667</v>
      </c>
      <c r="J159" s="5" t="n">
        <v>0.576388888888889</v>
      </c>
      <c r="K159" s="6" t="n">
        <f aca="false">ROUND((J159-I159)*24,2)</f>
        <v>0.83</v>
      </c>
      <c r="L159" s="3" t="s">
        <v>122</v>
      </c>
      <c r="M159" s="2"/>
      <c r="N159" s="2" t="s">
        <v>268</v>
      </c>
      <c r="O159" s="2" t="s">
        <v>22</v>
      </c>
    </row>
    <row r="160" customFormat="false" ht="23.85" hidden="false" customHeight="false" outlineLevel="0" collapsed="false">
      <c r="A160" s="2" t="n">
        <v>144</v>
      </c>
      <c r="B160" s="2" t="s">
        <v>32</v>
      </c>
      <c r="C160" s="3" t="s">
        <v>104</v>
      </c>
      <c r="D160" s="2" t="s">
        <v>49</v>
      </c>
      <c r="E160" s="2" t="s">
        <v>50</v>
      </c>
      <c r="F160" s="3"/>
      <c r="G160" s="4" t="n">
        <v>46366</v>
      </c>
      <c r="H160" s="2" t="str">
        <f aca="false">TEXT(G160,"ddd")</f>
        <v>Thu</v>
      </c>
      <c r="I160" s="5" t="n">
        <v>0.541666666666667</v>
      </c>
      <c r="J160" s="5" t="n">
        <v>0.583333333333333</v>
      </c>
      <c r="K160" s="6" t="n">
        <f aca="false">ROUND((J160-I160)*24,2)</f>
        <v>1</v>
      </c>
      <c r="L160" s="3" t="s">
        <v>105</v>
      </c>
      <c r="M160" s="2"/>
      <c r="N160" s="2" t="s">
        <v>268</v>
      </c>
      <c r="O160" s="2" t="s">
        <v>22</v>
      </c>
    </row>
    <row r="161" customFormat="false" ht="23.85" hidden="false" customHeight="false" outlineLevel="0" collapsed="false">
      <c r="A161" s="2" t="n">
        <v>145</v>
      </c>
      <c r="B161" s="2" t="s">
        <v>32</v>
      </c>
      <c r="C161" s="3" t="s">
        <v>322</v>
      </c>
      <c r="D161" s="2" t="s">
        <v>49</v>
      </c>
      <c r="E161" s="2" t="s">
        <v>50</v>
      </c>
      <c r="F161" s="3"/>
      <c r="G161" s="4" t="n">
        <v>46367</v>
      </c>
      <c r="H161" s="2" t="str">
        <f aca="false">TEXT(G161,"ddd")</f>
        <v>Fri</v>
      </c>
      <c r="I161" s="5" t="n">
        <v>0.541666666666667</v>
      </c>
      <c r="J161" s="5" t="n">
        <v>0.583333333333333</v>
      </c>
      <c r="K161" s="6" t="n">
        <f aca="false">ROUND((J161-I161)*24,2)</f>
        <v>1</v>
      </c>
      <c r="L161" s="3" t="s">
        <v>323</v>
      </c>
      <c r="M161" s="2"/>
      <c r="N161" s="2" t="s">
        <v>268</v>
      </c>
      <c r="O161" s="2" t="s">
        <v>22</v>
      </c>
    </row>
    <row r="162" customFormat="false" ht="23.85" hidden="false" customHeight="false" outlineLevel="0" collapsed="false">
      <c r="A162" s="2" t="n">
        <v>146</v>
      </c>
      <c r="B162" s="2" t="s">
        <v>32</v>
      </c>
      <c r="C162" s="3" t="s">
        <v>184</v>
      </c>
      <c r="D162" s="2" t="s">
        <v>49</v>
      </c>
      <c r="E162" s="2" t="s">
        <v>50</v>
      </c>
      <c r="F162" s="3"/>
      <c r="G162" s="4" t="n">
        <v>46373</v>
      </c>
      <c r="H162" s="2" t="str">
        <f aca="false">TEXT(G162,"ddd")</f>
        <v>Thu</v>
      </c>
      <c r="I162" s="5" t="n">
        <v>0.541666666666667</v>
      </c>
      <c r="J162" s="5" t="n">
        <v>0.583333333333333</v>
      </c>
      <c r="K162" s="6" t="n">
        <f aca="false">ROUND((J162-I162)*24,2)</f>
        <v>1</v>
      </c>
      <c r="L162" s="3" t="s">
        <v>185</v>
      </c>
      <c r="M162" s="2"/>
      <c r="N162" s="2" t="s">
        <v>268</v>
      </c>
      <c r="O162" s="2" t="s">
        <v>22</v>
      </c>
    </row>
    <row r="163" customFormat="false" ht="23.85" hidden="false" customHeight="false" outlineLevel="0" collapsed="false">
      <c r="A163" s="2" t="n">
        <v>147</v>
      </c>
      <c r="B163" s="2" t="s">
        <v>32</v>
      </c>
      <c r="C163" s="3" t="s">
        <v>48</v>
      </c>
      <c r="D163" s="2" t="s">
        <v>49</v>
      </c>
      <c r="E163" s="2" t="s">
        <v>50</v>
      </c>
      <c r="F163" s="3"/>
      <c r="G163" s="4" t="n">
        <v>46374</v>
      </c>
      <c r="H163" s="2" t="str">
        <f aca="false">TEXT(G163,"ddd")</f>
        <v>Fri</v>
      </c>
      <c r="I163" s="5" t="n">
        <v>0.541666666666667</v>
      </c>
      <c r="J163" s="5" t="n">
        <v>0.583333333333333</v>
      </c>
      <c r="K163" s="6" t="n">
        <f aca="false">ROUND((J163-I163)*24,2)</f>
        <v>1</v>
      </c>
      <c r="L163" s="3" t="s">
        <v>51</v>
      </c>
      <c r="M163" s="2"/>
      <c r="N163" s="2" t="s">
        <v>268</v>
      </c>
      <c r="O163" s="2" t="s">
        <v>22</v>
      </c>
    </row>
    <row r="164" customFormat="false" ht="23.85" hidden="false" customHeight="false" outlineLevel="0" collapsed="false">
      <c r="A164" s="2" t="n">
        <v>148</v>
      </c>
      <c r="B164" s="2" t="s">
        <v>32</v>
      </c>
      <c r="C164" s="3" t="s">
        <v>324</v>
      </c>
      <c r="D164" s="2" t="s">
        <v>202</v>
      </c>
      <c r="E164" s="2" t="s">
        <v>18</v>
      </c>
      <c r="F164" s="3" t="s">
        <v>19</v>
      </c>
      <c r="G164" s="4" t="n">
        <v>46407</v>
      </c>
      <c r="H164" s="2" t="str">
        <f aca="false">TEXT(G164,"ddd")</f>
        <v>Wed</v>
      </c>
      <c r="I164" s="5" t="n">
        <v>0.541666666666667</v>
      </c>
      <c r="J164" s="5" t="n">
        <v>0.604166666666667</v>
      </c>
      <c r="K164" s="6" t="n">
        <f aca="false">ROUND((J164-I164)*24,2)</f>
        <v>1.5</v>
      </c>
      <c r="L164" s="3" t="s">
        <v>65</v>
      </c>
      <c r="M164" s="2"/>
      <c r="N164" s="2" t="s">
        <v>268</v>
      </c>
      <c r="O164" s="2" t="s">
        <v>22</v>
      </c>
    </row>
    <row r="165" customFormat="false" ht="23.85" hidden="false" customHeight="false" outlineLevel="0" collapsed="false">
      <c r="A165" s="2" t="n">
        <v>149</v>
      </c>
      <c r="B165" s="2" t="s">
        <v>32</v>
      </c>
      <c r="C165" s="3" t="s">
        <v>325</v>
      </c>
      <c r="D165" s="2" t="s">
        <v>64</v>
      </c>
      <c r="E165" s="2" t="s">
        <v>35</v>
      </c>
      <c r="F165" s="3" t="s">
        <v>107</v>
      </c>
      <c r="G165" s="4" t="n">
        <v>46409</v>
      </c>
      <c r="H165" s="2" t="str">
        <f aca="false">TEXT(G165,"ddd")</f>
        <v>Fri</v>
      </c>
      <c r="I165" s="5" t="n">
        <v>0.40625</v>
      </c>
      <c r="J165" s="5" t="n">
        <v>0.541666666666667</v>
      </c>
      <c r="K165" s="6" t="n">
        <f aca="false">ROUND((J165-I165)*24,2)</f>
        <v>3.25</v>
      </c>
      <c r="L165" s="3" t="s">
        <v>254</v>
      </c>
      <c r="M165" s="2"/>
      <c r="N165" s="2" t="s">
        <v>268</v>
      </c>
      <c r="O165" s="2" t="s">
        <v>22</v>
      </c>
    </row>
    <row r="166" customFormat="false" ht="23.85" hidden="false" customHeight="false" outlineLevel="0" collapsed="false">
      <c r="A166" s="2" t="n">
        <v>150</v>
      </c>
      <c r="B166" s="2" t="s">
        <v>32</v>
      </c>
      <c r="C166" s="3" t="s">
        <v>326</v>
      </c>
      <c r="D166" s="2" t="s">
        <v>202</v>
      </c>
      <c r="E166" s="2" t="s">
        <v>35</v>
      </c>
      <c r="F166" s="3" t="s">
        <v>46</v>
      </c>
      <c r="G166" s="4" t="n">
        <v>46421</v>
      </c>
      <c r="H166" s="2" t="str">
        <f aca="false">TEXT(G166,"ddd")</f>
        <v>Wed</v>
      </c>
      <c r="I166" s="5" t="n">
        <v>0.541666666666667</v>
      </c>
      <c r="J166" s="5" t="n">
        <v>0.604166666666667</v>
      </c>
      <c r="K166" s="6" t="n">
        <f aca="false">ROUND((J166-I166)*24,2)</f>
        <v>1.5</v>
      </c>
      <c r="L166" s="3" t="s">
        <v>327</v>
      </c>
      <c r="M166" s="2"/>
      <c r="N166" s="2" t="s">
        <v>268</v>
      </c>
      <c r="O166" s="2" t="s">
        <v>22</v>
      </c>
    </row>
    <row r="167" customFormat="false" ht="23.85" hidden="false" customHeight="false" outlineLevel="0" collapsed="false">
      <c r="A167" s="2" t="n">
        <v>151</v>
      </c>
      <c r="B167" s="2" t="s">
        <v>32</v>
      </c>
      <c r="C167" s="3" t="s">
        <v>328</v>
      </c>
      <c r="D167" s="2" t="s">
        <v>64</v>
      </c>
      <c r="E167" s="2" t="s">
        <v>18</v>
      </c>
      <c r="F167" s="3" t="s">
        <v>19</v>
      </c>
      <c r="G167" s="4" t="n">
        <v>46429</v>
      </c>
      <c r="H167" s="2" t="str">
        <f aca="false">TEXT(G167,"ddd")</f>
        <v>Thu</v>
      </c>
      <c r="I167" s="5" t="n">
        <v>0.541666666666667</v>
      </c>
      <c r="J167" s="5" t="n">
        <v>0.604166666666667</v>
      </c>
      <c r="K167" s="6" t="n">
        <f aca="false">ROUND((J167-I167)*24,2)</f>
        <v>1.5</v>
      </c>
      <c r="L167" s="3" t="s">
        <v>329</v>
      </c>
      <c r="M167" s="2"/>
      <c r="N167" s="2" t="s">
        <v>268</v>
      </c>
      <c r="O167" s="2" t="s">
        <v>22</v>
      </c>
    </row>
    <row r="168" customFormat="false" ht="23.85" hidden="false" customHeight="false" outlineLevel="0" collapsed="false">
      <c r="A168" s="2" t="n">
        <v>152</v>
      </c>
      <c r="B168" s="2" t="s">
        <v>32</v>
      </c>
      <c r="C168" s="3" t="s">
        <v>330</v>
      </c>
      <c r="D168" s="2" t="s">
        <v>64</v>
      </c>
      <c r="E168" s="2" t="s">
        <v>35</v>
      </c>
      <c r="F168" s="3" t="s">
        <v>107</v>
      </c>
      <c r="G168" s="4" t="n">
        <v>46430</v>
      </c>
      <c r="H168" s="2" t="str">
        <f aca="false">TEXT(G168,"ddd")</f>
        <v>Fri</v>
      </c>
      <c r="I168" s="5" t="n">
        <v>0.40625</v>
      </c>
      <c r="J168" s="5" t="n">
        <v>0.541666666666667</v>
      </c>
      <c r="K168" s="6" t="n">
        <f aca="false">ROUND((J168-I168)*24,2)</f>
        <v>3.25</v>
      </c>
      <c r="L168" s="3" t="s">
        <v>254</v>
      </c>
      <c r="M168" s="2"/>
      <c r="N168" s="2" t="s">
        <v>268</v>
      </c>
      <c r="O168" s="2" t="s">
        <v>22</v>
      </c>
    </row>
    <row r="169" customFormat="false" ht="23.85" hidden="false" customHeight="false" outlineLevel="0" collapsed="false">
      <c r="A169" s="2" t="n">
        <v>153</v>
      </c>
      <c r="B169" s="2" t="s">
        <v>32</v>
      </c>
      <c r="C169" s="3" t="s">
        <v>331</v>
      </c>
      <c r="D169" s="2" t="s">
        <v>64</v>
      </c>
      <c r="E169" s="2" t="s">
        <v>18</v>
      </c>
      <c r="F169" s="3" t="s">
        <v>19</v>
      </c>
      <c r="G169" s="4" t="n">
        <v>46444</v>
      </c>
      <c r="H169" s="2" t="str">
        <f aca="false">TEXT(G169,"ddd")</f>
        <v>Fri</v>
      </c>
      <c r="I169" s="5" t="n">
        <v>0.583333333333333</v>
      </c>
      <c r="J169" s="5" t="n">
        <v>0.701388888888889</v>
      </c>
      <c r="K169" s="6" t="n">
        <f aca="false">ROUND((J169-I169)*24,2)</f>
        <v>2.83</v>
      </c>
      <c r="L169" s="3" t="s">
        <v>108</v>
      </c>
      <c r="M169" s="2" t="s">
        <v>332</v>
      </c>
      <c r="N169" s="2" t="s">
        <v>268</v>
      </c>
      <c r="O169"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4"/>
  </cols>
  <sheetData>
    <row r="1" customFormat="false" ht="15" hidden="false" customHeight="false" outlineLevel="0" collapsed="false">
      <c r="A1" s="8" t="s">
        <v>333</v>
      </c>
    </row>
    <row r="3" customFormat="false" ht="15" hidden="false" customHeight="false" outlineLevel="0" collapsed="false">
      <c r="A3" s="8" t="s">
        <v>334</v>
      </c>
      <c r="B3" s="9" t="n">
        <f aca="false">MAX('All Sessions'!A2:A169)</f>
        <v>153</v>
      </c>
    </row>
    <row r="4" customFormat="false" ht="15" hidden="false" customHeight="false" outlineLevel="0" collapsed="false">
      <c r="A4" s="8" t="s">
        <v>335</v>
      </c>
      <c r="B4" s="9" t="n">
        <f aca="false">COUNTA('All Sessions'!C2:C169)</f>
        <v>168</v>
      </c>
    </row>
    <row r="5" customFormat="false" ht="15" hidden="false" customHeight="false" outlineLevel="0" collapsed="false">
      <c r="A5" s="8" t="s">
        <v>336</v>
      </c>
      <c r="B5" s="10" t="n">
        <f aca="false">MIN('All Sessions'!G2:G169)</f>
        <v>46303</v>
      </c>
    </row>
    <row r="6" customFormat="false" ht="15" hidden="false" customHeight="false" outlineLevel="0" collapsed="false">
      <c r="A6" s="8" t="s">
        <v>337</v>
      </c>
      <c r="B6" s="10" t="n">
        <f aca="false">MAX('All Sessions'!G2:G169)</f>
        <v>46444</v>
      </c>
    </row>
    <row r="8" customFormat="false" ht="15" hidden="false" customHeight="false" outlineLevel="0" collapsed="false">
      <c r="A8" s="8" t="s">
        <v>338</v>
      </c>
      <c r="B8" s="8" t="s">
        <v>339</v>
      </c>
    </row>
    <row r="9" customFormat="false" ht="15" hidden="false" customHeight="false" outlineLevel="0" collapsed="false">
      <c r="A9" s="9" t="s">
        <v>18</v>
      </c>
      <c r="B9" s="9" t="n">
        <f aca="false">COUNTIF('All Sessions'!$E$2:$E$169,A9)</f>
        <v>53</v>
      </c>
    </row>
    <row r="10" customFormat="false" ht="15" hidden="false" customHeight="false" outlineLevel="0" collapsed="false">
      <c r="A10" s="9" t="s">
        <v>35</v>
      </c>
      <c r="B10" s="9" t="n">
        <f aca="false">COUNTIF('All Sessions'!$E$2:$E$169,A10)</f>
        <v>72</v>
      </c>
    </row>
    <row r="11" customFormat="false" ht="15" hidden="false" customHeight="false" outlineLevel="0" collapsed="false">
      <c r="A11" s="9" t="s">
        <v>75</v>
      </c>
      <c r="B11" s="9" t="n">
        <f aca="false">COUNTIF('All Sessions'!$E$2:$E$169,A11)</f>
        <v>8</v>
      </c>
    </row>
    <row r="12" customFormat="false" ht="15" hidden="false" customHeight="false" outlineLevel="0" collapsed="false">
      <c r="A12" s="9" t="s">
        <v>215</v>
      </c>
      <c r="B12" s="9" t="n">
        <f aca="false">COUNTIF('All Sessions'!$E$2:$E$169,A12)</f>
        <v>1</v>
      </c>
    </row>
    <row r="13" customFormat="false" ht="15" hidden="false" customHeight="false" outlineLevel="0" collapsed="false">
      <c r="A13" s="9" t="s">
        <v>50</v>
      </c>
      <c r="B13" s="9" t="n">
        <f aca="false">COUNTIF('All Sessions'!$E$2:$E$169,A13)</f>
        <v>34</v>
      </c>
    </row>
    <row r="14" customFormat="false" ht="15" hidden="false" customHeight="false" outlineLevel="0" collapsed="false">
      <c r="A14" s="8" t="s">
        <v>340</v>
      </c>
      <c r="B14" s="8" t="n">
        <f aca="false">SUM(B9:B13)</f>
        <v>168</v>
      </c>
    </row>
    <row r="16" customFormat="false" ht="15" hidden="false" customHeight="false" outlineLevel="0" collapsed="false">
      <c r="A16" s="8" t="s">
        <v>341</v>
      </c>
      <c r="B16" s="8" t="s">
        <v>339</v>
      </c>
    </row>
    <row r="17" customFormat="false" ht="15" hidden="false" customHeight="false" outlineLevel="0" collapsed="false">
      <c r="A17" s="9" t="s">
        <v>342</v>
      </c>
      <c r="B17" s="9" t="n">
        <f aca="false">COUNTIFS('All Sessions'!$G$2:$G$169,"&gt;="&amp;DATE(2026,10,1),'All Sessions'!$G$2:$G$169,"&lt;"&amp;DATE(2026,11,1))</f>
        <v>97</v>
      </c>
    </row>
    <row r="18" customFormat="false" ht="15" hidden="false" customHeight="false" outlineLevel="0" collapsed="false">
      <c r="A18" s="9" t="s">
        <v>343</v>
      </c>
      <c r="B18" s="9" t="n">
        <f aca="false">COUNTIFS('All Sessions'!$G$2:$G$169,"&gt;="&amp;DATE(2026,11,1),'All Sessions'!$G$2:$G$169,"&lt;"&amp;DATE(2026,12,1))</f>
        <v>50</v>
      </c>
    </row>
    <row r="19" customFormat="false" ht="15" hidden="false" customHeight="false" outlineLevel="0" collapsed="false">
      <c r="A19" s="9" t="s">
        <v>344</v>
      </c>
      <c r="B19" s="9" t="n">
        <f aca="false">COUNTIFS('All Sessions'!$G$2:$G$169,"&gt;="&amp;DATE(2026,12,1),'All Sessions'!$G$2:$G$169,"&lt;"&amp;DATE(2027,1,1))</f>
        <v>15</v>
      </c>
    </row>
    <row r="20" customFormat="false" ht="15" hidden="false" customHeight="false" outlineLevel="0" collapsed="false">
      <c r="A20" s="9" t="s">
        <v>345</v>
      </c>
      <c r="B20" s="9" t="n">
        <f aca="false">COUNTIFS('All Sessions'!$G$2:$G$169,"&gt;="&amp;DATE(2027,1,1),'All Sessions'!$G$2:$G$169,"&lt;"&amp;DATE(2027,2,1))</f>
        <v>2</v>
      </c>
    </row>
    <row r="21" customFormat="false" ht="15" hidden="false" customHeight="false" outlineLevel="0" collapsed="false">
      <c r="A21" s="9" t="s">
        <v>346</v>
      </c>
      <c r="B21" s="9" t="n">
        <f aca="false">COUNTIFS('All Sessions'!$G$2:$G$169,"&gt;="&amp;DATE(2027,2,1),'All Sessions'!$G$2:$G$169,"&lt;"&amp;DATE(2027,3,1))</f>
        <v>4</v>
      </c>
    </row>
    <row r="22" customFormat="false" ht="15" hidden="false" customHeight="false" outlineLevel="0" collapsed="false">
      <c r="A22" s="8" t="s">
        <v>340</v>
      </c>
      <c r="B22" s="8" t="n">
        <f aca="false">SUM(B17:B21)</f>
        <v>168</v>
      </c>
    </row>
    <row r="24" customFormat="false" ht="15" hidden="false" customHeight="false" outlineLevel="0" collapsed="false">
      <c r="A24" s="8" t="s">
        <v>347</v>
      </c>
      <c r="B24" s="8" t="s">
        <v>339</v>
      </c>
    </row>
    <row r="25" customFormat="false" ht="15" hidden="false" customHeight="false" outlineLevel="0" collapsed="false">
      <c r="A25" s="9" t="s">
        <v>49</v>
      </c>
      <c r="B25" s="9" t="n">
        <f aca="false">COUNTIF('All Sessions'!$D$2:$D$169,A25)</f>
        <v>26</v>
      </c>
    </row>
    <row r="26" customFormat="false" ht="15" hidden="false" customHeight="false" outlineLevel="0" collapsed="false">
      <c r="A26" s="9" t="s">
        <v>45</v>
      </c>
      <c r="B26" s="9" t="n">
        <f aca="false">COUNTIF('All Sessions'!$D$2:$D$169,A26)</f>
        <v>15</v>
      </c>
    </row>
    <row r="27" customFormat="false" ht="15" hidden="false" customHeight="false" outlineLevel="0" collapsed="false">
      <c r="A27" s="9" t="s">
        <v>34</v>
      </c>
      <c r="B27" s="9" t="n">
        <f aca="false">COUNTIF('All Sessions'!$D$2:$D$169,A27)</f>
        <v>4</v>
      </c>
    </row>
    <row r="28" customFormat="false" ht="15" hidden="false" customHeight="false" outlineLevel="0" collapsed="false">
      <c r="A28" s="9" t="s">
        <v>88</v>
      </c>
      <c r="B28" s="9" t="n">
        <f aca="false">COUNTIF('All Sessions'!$D$2:$D$169,A28)</f>
        <v>6</v>
      </c>
    </row>
    <row r="29" customFormat="false" ht="15" hidden="false" customHeight="false" outlineLevel="0" collapsed="false">
      <c r="A29" s="9" t="s">
        <v>99</v>
      </c>
      <c r="B29" s="9" t="n">
        <f aca="false">COUNTIF('All Sessions'!$D$2:$D$169,A29)</f>
        <v>5</v>
      </c>
    </row>
    <row r="30" customFormat="false" ht="15" hidden="false" customHeight="false" outlineLevel="0" collapsed="false">
      <c r="A30" s="9" t="s">
        <v>202</v>
      </c>
      <c r="B30" s="9" t="n">
        <f aca="false">COUNTIF('All Sessions'!$D$2:$D$169,A30)</f>
        <v>3</v>
      </c>
    </row>
    <row r="31" customFormat="false" ht="15" hidden="false" customHeight="false" outlineLevel="0" collapsed="false">
      <c r="A31" s="9" t="s">
        <v>64</v>
      </c>
      <c r="B31" s="9" t="n">
        <f aca="false">COUNTIF('All Sessions'!$D$2:$D$169,A31)</f>
        <v>14</v>
      </c>
    </row>
    <row r="32" customFormat="false" ht="15" hidden="false" customHeight="false" outlineLevel="0" collapsed="false">
      <c r="A32" s="9" t="s">
        <v>83</v>
      </c>
      <c r="B32" s="9" t="n">
        <f aca="false">COUNTIF('All Sessions'!$D$2:$D$169,A32)</f>
        <v>2</v>
      </c>
    </row>
    <row r="33" customFormat="false" ht="15" hidden="false" customHeight="false" outlineLevel="0" collapsed="false">
      <c r="A33" s="9" t="s">
        <v>190</v>
      </c>
      <c r="B33" s="9" t="n">
        <f aca="false">COUNTIF('All Sessions'!$D$2:$D$169,A33)</f>
        <v>6</v>
      </c>
    </row>
    <row r="34" customFormat="false" ht="15" hidden="false" customHeight="false" outlineLevel="0" collapsed="false">
      <c r="A34" s="9" t="s">
        <v>53</v>
      </c>
      <c r="B34" s="9" t="n">
        <f aca="false">COUNTIF('All Sessions'!$D$2:$D$169,A34)</f>
        <v>12</v>
      </c>
    </row>
    <row r="35" customFormat="false" ht="15" hidden="false" customHeight="false" outlineLevel="0" collapsed="false">
      <c r="A35" s="9" t="s">
        <v>39</v>
      </c>
      <c r="B35" s="9" t="n">
        <f aca="false">COUNTIF('All Sessions'!$D$2:$D$169,A35)</f>
        <v>49</v>
      </c>
    </row>
    <row r="36" customFormat="false" ht="15" hidden="false" customHeight="false" outlineLevel="0" collapsed="false">
      <c r="A36" s="9" t="s">
        <v>187</v>
      </c>
      <c r="B36" s="9" t="n">
        <f aca="false">COUNTIF('All Sessions'!$D$2:$D$169,A36)</f>
        <v>2</v>
      </c>
    </row>
    <row r="37" customFormat="false" ht="15" hidden="false" customHeight="false" outlineLevel="0" collapsed="false">
      <c r="A37" s="9" t="s">
        <v>42</v>
      </c>
      <c r="B37" s="9" t="n">
        <f aca="false">COUNTIF('All Sessions'!$D$2:$D$169,A37)</f>
        <v>3</v>
      </c>
    </row>
    <row r="38" customFormat="false" ht="15" hidden="false" customHeight="false" outlineLevel="0" collapsed="false">
      <c r="A38" s="9" t="s">
        <v>80</v>
      </c>
      <c r="B38" s="9" t="n">
        <f aca="false">COUNTIF('All Sessions'!$D$2:$D$169,A38)</f>
        <v>3</v>
      </c>
    </row>
    <row r="39" customFormat="false" ht="15" hidden="false" customHeight="false" outlineLevel="0" collapsed="false">
      <c r="A39" s="9" t="s">
        <v>17</v>
      </c>
      <c r="B39" s="9" t="n">
        <f aca="false">COUNTIF('All Sessions'!$D$2:$D$169,A39)</f>
        <v>18</v>
      </c>
    </row>
    <row r="40" customFormat="false" ht="15" hidden="false" customHeight="false" outlineLevel="0" collapsed="false">
      <c r="A40" s="8" t="s">
        <v>340</v>
      </c>
      <c r="B40" s="8" t="n">
        <f aca="false">SUM(B25:B39)</f>
        <v>168</v>
      </c>
    </row>
    <row r="42" customFormat="false" ht="15" hidden="false" customHeight="false" outlineLevel="0" collapsed="false">
      <c r="A42" s="8" t="s">
        <v>348</v>
      </c>
    </row>
    <row r="43" customFormat="false" ht="15" hidden="false" customHeight="false" outlineLevel="0" collapsed="false">
      <c r="A43" s="9" t="s">
        <v>349</v>
      </c>
    </row>
    <row r="44" customFormat="false" ht="15" hidden="false" customHeight="false" outlineLevel="0" collapsed="false">
      <c r="A44" s="9" t="s">
        <v>350</v>
      </c>
    </row>
    <row r="45" customFormat="false" ht="15" hidden="false" customHeight="false" outlineLevel="0" collapsed="false">
      <c r="A45" s="9" t="s">
        <v>351</v>
      </c>
    </row>
    <row r="46" customFormat="false" ht="15" hidden="false" customHeight="false" outlineLevel="0" collapsed="false">
      <c r="A46" s="9" t="s">
        <v>352</v>
      </c>
    </row>
    <row r="47" customFormat="false" ht="15" hidden="false" customHeight="false" outlineLevel="0" collapsed="false">
      <c r="A47" s="9" t="s">
        <v>353</v>
      </c>
    </row>
    <row r="48" customFormat="false" ht="15" hidden="false" customHeight="false" outlineLevel="0" collapsed="false">
      <c r="A48" s="9"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2026-10-14T00:02:18Z</dcterms:created>
  <dc:creator>openpyxl</dc:creator>
  <dc:description/>
  <dc:language>en-US</dc:language>
  <cp:lastModifiedBy/>
  <dcterms:modified xsi:type="dcterms:W3CDTF">2026-10-14T00:02:18Z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